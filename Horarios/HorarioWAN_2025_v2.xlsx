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00614578\Documents\Github\WAN\Horarios\"/>
    </mc:Choice>
  </mc:AlternateContent>
  <xr:revisionPtr revIDLastSave="0" documentId="8_{56F68617-6658-412B-9DAA-5887438AC659}" xr6:coauthVersionLast="47" xr6:coauthVersionMax="47" xr10:uidLastSave="{00000000-0000-0000-0000-000000000000}"/>
  <bookViews>
    <workbookView xWindow="28680" yWindow="-120" windowWidth="29040" windowHeight="15720" activeTab="4" xr2:uid="{85581F8A-1D8C-4874-8F74-82FACFEFF46D}"/>
  </bookViews>
  <sheets>
    <sheet name="Hoja1" sheetId="1" r:id="rId1"/>
    <sheet name="WAN_201" sheetId="2" r:id="rId2"/>
    <sheet name="WAN_301" sheetId="4" r:id="rId3"/>
    <sheet name="WAN_201_Canvas" sheetId="5" r:id="rId4"/>
    <sheet name="WAN_301_Canva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" i="4" l="1"/>
  <c r="Q46" i="2"/>
  <c r="T42" i="2"/>
  <c r="O46" i="2"/>
  <c r="N49" i="2"/>
  <c r="N48" i="2"/>
  <c r="N47" i="2"/>
  <c r="N46" i="2"/>
  <c r="N45" i="2"/>
  <c r="O43" i="2"/>
  <c r="O12" i="2"/>
  <c r="O3" i="2"/>
  <c r="O30" i="2"/>
  <c r="O41" i="2"/>
  <c r="O39" i="2"/>
  <c r="O32" i="2"/>
  <c r="O31" i="2"/>
  <c r="O22" i="2"/>
  <c r="O21" i="2"/>
  <c r="O23" i="2"/>
  <c r="O14" i="2"/>
  <c r="O5" i="2"/>
  <c r="O4" i="2"/>
  <c r="M8" i="1"/>
  <c r="M6" i="1"/>
  <c r="M5" i="1"/>
  <c r="M4" i="1"/>
  <c r="M3" i="1"/>
  <c r="J6" i="1"/>
  <c r="J33" i="1"/>
  <c r="J24" i="1"/>
  <c r="J14" i="1"/>
  <c r="J16" i="1"/>
  <c r="J12" i="1"/>
  <c r="J15" i="1"/>
  <c r="J3" i="1"/>
</calcChain>
</file>

<file path=xl/sharedStrings.xml><?xml version="1.0" encoding="utf-8"?>
<sst xmlns="http://schemas.openxmlformats.org/spreadsheetml/2006/main" count="752" uniqueCount="75">
  <si>
    <t>3:00 - 4:00</t>
  </si>
  <si>
    <t>4:00 - 5:00</t>
  </si>
  <si>
    <t>5:00 - 5:30</t>
  </si>
  <si>
    <t>5:30 - 6:00</t>
  </si>
  <si>
    <t>6:00 - 7:00</t>
  </si>
  <si>
    <t>7:00 - 8:00</t>
  </si>
  <si>
    <t>LUNES</t>
  </si>
  <si>
    <t>MARTES</t>
  </si>
  <si>
    <t>MIÉRCOLES</t>
  </si>
  <si>
    <t>JUEVES</t>
  </si>
  <si>
    <t>VIERNES</t>
  </si>
  <si>
    <t>MODULO 1</t>
  </si>
  <si>
    <t>MODULO 3</t>
  </si>
  <si>
    <t>5:00 - 6:00</t>
  </si>
  <si>
    <t>SEMANA 1</t>
  </si>
  <si>
    <t>SEMANA 2</t>
  </si>
  <si>
    <t>SEMANA 3</t>
  </si>
  <si>
    <t>SEMANA 4</t>
  </si>
  <si>
    <t>SEMANA 5</t>
  </si>
  <si>
    <t>Módulo 1</t>
  </si>
  <si>
    <t>Módulo 3</t>
  </si>
  <si>
    <t>MODULO 2</t>
  </si>
  <si>
    <t>RETO</t>
  </si>
  <si>
    <t>Módulo 2</t>
  </si>
  <si>
    <t>Reto</t>
  </si>
  <si>
    <t>EVALUACIÓN</t>
  </si>
  <si>
    <t>ASSESSMENT</t>
  </si>
  <si>
    <t>Assessment</t>
  </si>
  <si>
    <t>RETO / RETROALIMENTACIÓN</t>
  </si>
  <si>
    <t>ASUETO</t>
  </si>
  <si>
    <t>CENEVAL</t>
  </si>
  <si>
    <t>MÓDULO 1</t>
  </si>
  <si>
    <t>MÓDULO 3</t>
  </si>
  <si>
    <t>MÓDULO 2</t>
  </si>
  <si>
    <t>EXAMEN INTEGRADOR (EVIDENCIA 1)</t>
  </si>
  <si>
    <t>PRESENTACIÓN DE LA PROPUESTA DE SOLUCIÓN AL RETO / EVALUACIÓN DEL RETO (EVIDENCIA 2)</t>
  </si>
  <si>
    <t>AVANCE DEL RETO / RETROALIMENTACIÓN</t>
  </si>
  <si>
    <t>EXAMEN MÓDULO 1</t>
  </si>
  <si>
    <t>PRESENTACIÓN DE PROPUESTA DE SOLUCIÓN AL RETO / EVALUACIÓN DEL RETO (EVIDENCIA 2)</t>
  </si>
  <si>
    <r>
      <t>SEMANA 1</t>
    </r>
    <r>
      <rPr>
        <sz val="11"/>
        <color theme="1"/>
        <rFont val="Calibri"/>
        <family val="2"/>
        <scheme val="minor"/>
      </rPr>
      <t xml:space="preserve"> (24 - 28 de Marzo)</t>
    </r>
  </si>
  <si>
    <r>
      <t>SEMANA 2</t>
    </r>
    <r>
      <rPr>
        <sz val="11"/>
        <color theme="1"/>
        <rFont val="Calibri"/>
        <family val="2"/>
        <scheme val="minor"/>
      </rPr>
      <t xml:space="preserve"> (31 de Marzo - 4 de Abril)</t>
    </r>
  </si>
  <si>
    <r>
      <t>SEMANA 3</t>
    </r>
    <r>
      <rPr>
        <sz val="11"/>
        <color theme="1"/>
        <rFont val="Calibri"/>
        <family val="2"/>
        <scheme val="minor"/>
      </rPr>
      <t xml:space="preserve"> (7 - 11 de Abril)</t>
    </r>
  </si>
  <si>
    <r>
      <t>SEMANA 4</t>
    </r>
    <r>
      <rPr>
        <sz val="11"/>
        <color theme="1"/>
        <rFont val="Calibri"/>
        <family val="2"/>
        <scheme val="minor"/>
      </rPr>
      <t xml:space="preserve"> (21 - 25 de Abril)</t>
    </r>
  </si>
  <si>
    <r>
      <t>SEMANA 5</t>
    </r>
    <r>
      <rPr>
        <sz val="11"/>
        <color theme="1"/>
        <rFont val="Calibri"/>
        <family val="2"/>
        <scheme val="minor"/>
      </rPr>
      <t xml:space="preserve"> (28 de Abril - 2 de Mayo)</t>
    </r>
  </si>
  <si>
    <t>24 de Marzo 15:00 horas visita de Citlalli Feregrino</t>
  </si>
  <si>
    <t>PRESENTACIÓN DEL RETO CON EL SOCIO FORMADOR / RETO</t>
  </si>
  <si>
    <t>9 de Abril 15:00 horas visita de Citlalli Feregrino</t>
  </si>
  <si>
    <t>2 de Mayo 15:00 horas visita de Citlalli Feregrino</t>
  </si>
  <si>
    <t>25 de Abril 15:00 horas presentación de avance de reto</t>
  </si>
  <si>
    <t>4 de Abril 15:00 horas presentación de avance de reto</t>
  </si>
  <si>
    <t>28 de Marzo 17:00 horas presentación de avance de reto</t>
  </si>
  <si>
    <t>Evaluación de los estudiantes por partes de profesores y socio formador</t>
  </si>
  <si>
    <t>Coevaluación de los estudiantes</t>
  </si>
  <si>
    <t>Liz</t>
  </si>
  <si>
    <t>Lunes</t>
  </si>
  <si>
    <t>Miércoles</t>
  </si>
  <si>
    <t>3:00 a 5:00</t>
  </si>
  <si>
    <t>Viernes</t>
  </si>
  <si>
    <t>3:00 a 5:30</t>
  </si>
  <si>
    <r>
      <t>SEMANA 1</t>
    </r>
    <r>
      <rPr>
        <sz val="11"/>
        <color theme="1"/>
        <rFont val="Calibri"/>
        <family val="2"/>
        <scheme val="minor"/>
      </rPr>
      <t xml:space="preserve"> (5 - 9 de Mayo)</t>
    </r>
  </si>
  <si>
    <r>
      <t>SEMANA 2</t>
    </r>
    <r>
      <rPr>
        <sz val="11"/>
        <color theme="1"/>
        <rFont val="Calibri"/>
        <family val="2"/>
        <scheme val="minor"/>
      </rPr>
      <t xml:space="preserve"> (12 - 16 de Mayo)</t>
    </r>
  </si>
  <si>
    <r>
      <t>SEMANA 3</t>
    </r>
    <r>
      <rPr>
        <sz val="11"/>
        <color theme="1"/>
        <rFont val="Calibri"/>
        <family val="2"/>
        <scheme val="minor"/>
      </rPr>
      <t xml:space="preserve"> (19 - 23 de Mayo)</t>
    </r>
  </si>
  <si>
    <r>
      <t>SEMANA 4</t>
    </r>
    <r>
      <rPr>
        <sz val="11"/>
        <color theme="1"/>
        <rFont val="Calibri"/>
        <family val="2"/>
        <scheme val="minor"/>
      </rPr>
      <t xml:space="preserve"> (26 - 30 de Mayo)</t>
    </r>
  </si>
  <si>
    <r>
      <t>SEMANA 5</t>
    </r>
    <r>
      <rPr>
        <sz val="11"/>
        <color theme="1"/>
        <rFont val="Calibri"/>
        <family val="2"/>
        <scheme val="minor"/>
      </rPr>
      <t xml:space="preserve"> (2 - 6 de Junio)</t>
    </r>
  </si>
  <si>
    <r>
      <t>SEMANA 5</t>
    </r>
    <r>
      <rPr>
        <sz val="11"/>
        <color theme="1"/>
        <rFont val="Calibri"/>
        <family val="2"/>
        <scheme val="minor"/>
      </rPr>
      <t xml:space="preserve"> (9 de Junio)</t>
    </r>
  </si>
  <si>
    <t>3:00 a 6:00</t>
  </si>
  <si>
    <t>3:00 a 7:00</t>
  </si>
  <si>
    <t>5:30 - 6:30</t>
  </si>
  <si>
    <t>PRESENTACIÓN DEL RETO CON SOCIO FORMADOR / RETO</t>
  </si>
  <si>
    <t>.</t>
  </si>
  <si>
    <t>4 de Junio. Presentación final ante socio formador y coevaluación.</t>
  </si>
  <si>
    <t>23 de Mayo. Presentación ante socio formador.</t>
  </si>
  <si>
    <t>Miércoles 7 de Mayo. Visita CAETEC horario por confirmar</t>
  </si>
  <si>
    <t>3:00 - 7:00 p.m.</t>
  </si>
  <si>
    <t>4:00 a 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</si>
</sst>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9" borderId="5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1" fillId="9" borderId="3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4" borderId="3" xfId="0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46F2-9B65-4253-AF1A-423FCC9AE5F3}">
  <dimension ref="A1:M44"/>
  <sheetViews>
    <sheetView workbookViewId="0">
      <selection activeCell="G42" sqref="G42"/>
    </sheetView>
  </sheetViews>
  <sheetFormatPr defaultColWidth="10.90625" defaultRowHeight="14.5" x14ac:dyDescent="0.35"/>
  <cols>
    <col min="3" max="3" width="12.81640625" customWidth="1"/>
    <col min="4" max="4" width="14.08984375" customWidth="1"/>
    <col min="6" max="6" width="4.6328125" customWidth="1"/>
    <col min="7" max="7" width="27.36328125" customWidth="1"/>
  </cols>
  <sheetData>
    <row r="1" spans="1:13" x14ac:dyDescent="0.35">
      <c r="A1" s="2" t="s">
        <v>14</v>
      </c>
    </row>
    <row r="2" spans="1:13" x14ac:dyDescent="0.35">
      <c r="B2" s="2" t="s">
        <v>6</v>
      </c>
      <c r="C2" s="2" t="s">
        <v>7</v>
      </c>
      <c r="D2" s="2" t="s">
        <v>8</v>
      </c>
      <c r="E2" s="2" t="s">
        <v>9</v>
      </c>
      <c r="F2" s="2"/>
      <c r="G2" s="2" t="s">
        <v>10</v>
      </c>
    </row>
    <row r="3" spans="1:13" x14ac:dyDescent="0.35">
      <c r="A3" t="s">
        <v>0</v>
      </c>
      <c r="B3" t="s">
        <v>11</v>
      </c>
      <c r="C3" t="s">
        <v>12</v>
      </c>
      <c r="D3" t="s">
        <v>12</v>
      </c>
      <c r="E3" t="s">
        <v>11</v>
      </c>
      <c r="G3" t="s">
        <v>22</v>
      </c>
      <c r="H3" t="s">
        <v>0</v>
      </c>
      <c r="I3" t="s">
        <v>19</v>
      </c>
      <c r="J3">
        <f>2.5*4+2</f>
        <v>12</v>
      </c>
      <c r="L3" t="s">
        <v>19</v>
      </c>
      <c r="M3">
        <f>J3+J12</f>
        <v>17.5</v>
      </c>
    </row>
    <row r="4" spans="1:13" x14ac:dyDescent="0.35">
      <c r="A4" t="s">
        <v>1</v>
      </c>
      <c r="B4" t="s">
        <v>11</v>
      </c>
      <c r="C4" t="s">
        <v>12</v>
      </c>
      <c r="D4" t="s">
        <v>12</v>
      </c>
      <c r="E4" t="s">
        <v>11</v>
      </c>
      <c r="G4" t="s">
        <v>22</v>
      </c>
      <c r="H4" t="s">
        <v>1</v>
      </c>
      <c r="I4" t="s">
        <v>20</v>
      </c>
      <c r="J4">
        <v>10</v>
      </c>
      <c r="L4" t="s">
        <v>23</v>
      </c>
      <c r="M4">
        <f>J13+J21+J30</f>
        <v>20</v>
      </c>
    </row>
    <row r="5" spans="1:13" x14ac:dyDescent="0.35">
      <c r="A5" t="s">
        <v>2</v>
      </c>
      <c r="B5" t="s">
        <v>11</v>
      </c>
      <c r="C5" t="s">
        <v>12</v>
      </c>
      <c r="D5" t="s">
        <v>12</v>
      </c>
      <c r="E5" t="s">
        <v>11</v>
      </c>
      <c r="G5" t="s">
        <v>11</v>
      </c>
      <c r="H5" t="s">
        <v>13</v>
      </c>
      <c r="I5" t="s">
        <v>24</v>
      </c>
      <c r="J5">
        <v>2</v>
      </c>
      <c r="L5" t="s">
        <v>20</v>
      </c>
      <c r="M5">
        <f>J4+J14+J22+J31</f>
        <v>29.5</v>
      </c>
    </row>
    <row r="6" spans="1:13" x14ac:dyDescent="0.35">
      <c r="A6" t="s">
        <v>3</v>
      </c>
      <c r="B6" t="s">
        <v>12</v>
      </c>
      <c r="C6" t="s">
        <v>11</v>
      </c>
      <c r="D6" t="s">
        <v>11</v>
      </c>
      <c r="E6" t="s">
        <v>12</v>
      </c>
      <c r="G6" t="s">
        <v>11</v>
      </c>
      <c r="H6" t="s">
        <v>4</v>
      </c>
      <c r="J6">
        <f>SUM(J2:J5)</f>
        <v>24</v>
      </c>
      <c r="L6" t="s">
        <v>24</v>
      </c>
      <c r="M6">
        <f>J5+J15+J23+J32+J39</f>
        <v>43</v>
      </c>
    </row>
    <row r="7" spans="1:13" x14ac:dyDescent="0.35">
      <c r="A7" t="s">
        <v>4</v>
      </c>
      <c r="B7" t="s">
        <v>12</v>
      </c>
      <c r="C7" t="s">
        <v>11</v>
      </c>
      <c r="D7" t="s">
        <v>11</v>
      </c>
      <c r="E7" t="s">
        <v>12</v>
      </c>
      <c r="L7" t="s">
        <v>27</v>
      </c>
      <c r="M7">
        <v>10</v>
      </c>
    </row>
    <row r="8" spans="1:13" x14ac:dyDescent="0.35">
      <c r="A8" t="s">
        <v>5</v>
      </c>
      <c r="B8" t="s">
        <v>12</v>
      </c>
      <c r="C8" t="s">
        <v>11</v>
      </c>
      <c r="D8" t="s">
        <v>11</v>
      </c>
      <c r="E8" t="s">
        <v>12</v>
      </c>
      <c r="M8">
        <f>SUM(M3:M7)</f>
        <v>120</v>
      </c>
    </row>
    <row r="10" spans="1:13" x14ac:dyDescent="0.35">
      <c r="A10" s="2" t="s">
        <v>15</v>
      </c>
    </row>
    <row r="11" spans="1:13" x14ac:dyDescent="0.35">
      <c r="B11" s="2" t="s">
        <v>6</v>
      </c>
      <c r="C11" s="2" t="s">
        <v>7</v>
      </c>
      <c r="D11" s="2" t="s">
        <v>8</v>
      </c>
      <c r="E11" s="2" t="s">
        <v>9</v>
      </c>
      <c r="F11" s="2"/>
      <c r="G11" s="2" t="s">
        <v>10</v>
      </c>
    </row>
    <row r="12" spans="1:13" x14ac:dyDescent="0.35">
      <c r="A12" t="s">
        <v>0</v>
      </c>
      <c r="B12" t="s">
        <v>11</v>
      </c>
      <c r="C12" t="s">
        <v>12</v>
      </c>
      <c r="D12" t="s">
        <v>22</v>
      </c>
      <c r="E12" t="s">
        <v>21</v>
      </c>
      <c r="G12" t="s">
        <v>22</v>
      </c>
      <c r="H12" t="s">
        <v>0</v>
      </c>
      <c r="I12" t="s">
        <v>19</v>
      </c>
      <c r="J12">
        <f>3+2.5</f>
        <v>5.5</v>
      </c>
    </row>
    <row r="13" spans="1:13" x14ac:dyDescent="0.35">
      <c r="A13" t="s">
        <v>1</v>
      </c>
      <c r="B13" t="s">
        <v>11</v>
      </c>
      <c r="C13" t="s">
        <v>12</v>
      </c>
      <c r="D13" t="s">
        <v>22</v>
      </c>
      <c r="E13" t="s">
        <v>21</v>
      </c>
      <c r="G13" t="s">
        <v>22</v>
      </c>
      <c r="H13" t="s">
        <v>1</v>
      </c>
      <c r="I13" s="1" t="s">
        <v>23</v>
      </c>
      <c r="J13" s="1">
        <v>3</v>
      </c>
    </row>
    <row r="14" spans="1:13" x14ac:dyDescent="0.35">
      <c r="A14" t="s">
        <v>2</v>
      </c>
      <c r="B14" t="s">
        <v>11</v>
      </c>
      <c r="C14" t="s">
        <v>12</v>
      </c>
      <c r="D14" t="s">
        <v>22</v>
      </c>
      <c r="E14" t="s">
        <v>21</v>
      </c>
      <c r="G14" t="s">
        <v>28</v>
      </c>
      <c r="H14" t="s">
        <v>13</v>
      </c>
      <c r="I14" t="s">
        <v>20</v>
      </c>
      <c r="J14">
        <f>2+2.5+2</f>
        <v>6.5</v>
      </c>
    </row>
    <row r="15" spans="1:13" x14ac:dyDescent="0.35">
      <c r="A15" t="s">
        <v>3</v>
      </c>
      <c r="B15" t="s">
        <v>11</v>
      </c>
      <c r="C15" t="s">
        <v>11</v>
      </c>
      <c r="D15" t="s">
        <v>22</v>
      </c>
      <c r="E15" t="s">
        <v>21</v>
      </c>
      <c r="G15" t="s">
        <v>28</v>
      </c>
      <c r="H15" t="s">
        <v>4</v>
      </c>
      <c r="I15" t="s">
        <v>24</v>
      </c>
      <c r="J15">
        <f>5+4</f>
        <v>9</v>
      </c>
    </row>
    <row r="16" spans="1:13" x14ac:dyDescent="0.35">
      <c r="A16" t="s">
        <v>4</v>
      </c>
      <c r="B16" t="s">
        <v>12</v>
      </c>
      <c r="C16" t="s">
        <v>11</v>
      </c>
      <c r="D16" t="s">
        <v>22</v>
      </c>
      <c r="E16" t="s">
        <v>12</v>
      </c>
      <c r="J16">
        <f>SUM(J12:J15)</f>
        <v>24</v>
      </c>
    </row>
    <row r="17" spans="1:10" x14ac:dyDescent="0.35">
      <c r="A17" t="s">
        <v>5</v>
      </c>
      <c r="B17" t="s">
        <v>12</v>
      </c>
      <c r="C17" t="s">
        <v>11</v>
      </c>
      <c r="D17" t="s">
        <v>22</v>
      </c>
      <c r="E17" t="s">
        <v>12</v>
      </c>
    </row>
    <row r="19" spans="1:10" x14ac:dyDescent="0.35">
      <c r="A19" s="2" t="s">
        <v>16</v>
      </c>
    </row>
    <row r="20" spans="1:10" x14ac:dyDescent="0.35"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 t="s">
        <v>10</v>
      </c>
    </row>
    <row r="21" spans="1:10" x14ac:dyDescent="0.35">
      <c r="A21" t="s">
        <v>0</v>
      </c>
      <c r="B21" t="s">
        <v>21</v>
      </c>
      <c r="C21" t="s">
        <v>12</v>
      </c>
      <c r="D21" t="s">
        <v>22</v>
      </c>
      <c r="E21" t="s">
        <v>21</v>
      </c>
      <c r="G21" t="s">
        <v>22</v>
      </c>
      <c r="H21" t="s">
        <v>0</v>
      </c>
      <c r="I21" s="1" t="s">
        <v>23</v>
      </c>
      <c r="J21" s="1">
        <v>8.5</v>
      </c>
    </row>
    <row r="22" spans="1:10" x14ac:dyDescent="0.35">
      <c r="A22" t="s">
        <v>1</v>
      </c>
      <c r="B22" t="s">
        <v>21</v>
      </c>
      <c r="C22" t="s">
        <v>12</v>
      </c>
      <c r="D22" t="s">
        <v>22</v>
      </c>
      <c r="E22" t="s">
        <v>21</v>
      </c>
      <c r="G22" t="s">
        <v>22</v>
      </c>
      <c r="H22" t="s">
        <v>1</v>
      </c>
      <c r="I22" t="s">
        <v>20</v>
      </c>
      <c r="J22">
        <v>6.5</v>
      </c>
    </row>
    <row r="23" spans="1:10" x14ac:dyDescent="0.35">
      <c r="A23" t="s">
        <v>2</v>
      </c>
      <c r="B23" t="s">
        <v>21</v>
      </c>
      <c r="C23" t="s">
        <v>12</v>
      </c>
      <c r="D23" t="s">
        <v>22</v>
      </c>
      <c r="E23" t="s">
        <v>21</v>
      </c>
      <c r="G23" t="s">
        <v>28</v>
      </c>
      <c r="H23" t="s">
        <v>13</v>
      </c>
      <c r="I23" t="s">
        <v>24</v>
      </c>
      <c r="J23">
        <v>9</v>
      </c>
    </row>
    <row r="24" spans="1:10" x14ac:dyDescent="0.35">
      <c r="A24" t="s">
        <v>3</v>
      </c>
      <c r="B24" t="s">
        <v>21</v>
      </c>
      <c r="C24" t="s">
        <v>21</v>
      </c>
      <c r="D24" t="s">
        <v>22</v>
      </c>
      <c r="E24" t="s">
        <v>21</v>
      </c>
      <c r="G24" t="s">
        <v>28</v>
      </c>
      <c r="H24" t="s">
        <v>4</v>
      </c>
      <c r="J24">
        <f>SUM(J21:J23)</f>
        <v>24</v>
      </c>
    </row>
    <row r="25" spans="1:10" x14ac:dyDescent="0.35">
      <c r="A25" t="s">
        <v>4</v>
      </c>
      <c r="B25" t="s">
        <v>12</v>
      </c>
      <c r="C25" t="s">
        <v>21</v>
      </c>
      <c r="D25" t="s">
        <v>22</v>
      </c>
      <c r="E25" t="s">
        <v>12</v>
      </c>
    </row>
    <row r="26" spans="1:10" x14ac:dyDescent="0.35">
      <c r="A26" t="s">
        <v>5</v>
      </c>
      <c r="B26" t="s">
        <v>12</v>
      </c>
      <c r="C26" t="s">
        <v>21</v>
      </c>
      <c r="D26" t="s">
        <v>22</v>
      </c>
      <c r="E26" t="s">
        <v>12</v>
      </c>
    </row>
    <row r="28" spans="1:10" x14ac:dyDescent="0.35">
      <c r="A28" s="2" t="s">
        <v>17</v>
      </c>
    </row>
    <row r="29" spans="1:10" x14ac:dyDescent="0.35">
      <c r="B29" s="2" t="s">
        <v>6</v>
      </c>
      <c r="C29" s="2" t="s">
        <v>7</v>
      </c>
      <c r="D29" s="2" t="s">
        <v>8</v>
      </c>
      <c r="E29" s="2" t="s">
        <v>9</v>
      </c>
      <c r="F29" s="2"/>
      <c r="G29" s="2" t="s">
        <v>10</v>
      </c>
    </row>
    <row r="30" spans="1:10" x14ac:dyDescent="0.35">
      <c r="A30" t="s">
        <v>0</v>
      </c>
      <c r="B30" t="s">
        <v>21</v>
      </c>
      <c r="C30" t="s">
        <v>12</v>
      </c>
      <c r="D30" t="s">
        <v>22</v>
      </c>
      <c r="E30" t="s">
        <v>21</v>
      </c>
      <c r="G30" t="s">
        <v>22</v>
      </c>
      <c r="H30" t="s">
        <v>0</v>
      </c>
      <c r="I30" s="1" t="s">
        <v>23</v>
      </c>
      <c r="J30" s="1">
        <v>8.5</v>
      </c>
    </row>
    <row r="31" spans="1:10" x14ac:dyDescent="0.35">
      <c r="A31" t="s">
        <v>1</v>
      </c>
      <c r="B31" t="s">
        <v>21</v>
      </c>
      <c r="C31" t="s">
        <v>12</v>
      </c>
      <c r="D31" t="s">
        <v>22</v>
      </c>
      <c r="E31" t="s">
        <v>21</v>
      </c>
      <c r="G31" t="s">
        <v>22</v>
      </c>
      <c r="H31" t="s">
        <v>1</v>
      </c>
      <c r="I31" t="s">
        <v>20</v>
      </c>
      <c r="J31">
        <v>6.5</v>
      </c>
    </row>
    <row r="32" spans="1:10" x14ac:dyDescent="0.35">
      <c r="A32" t="s">
        <v>2</v>
      </c>
      <c r="B32" t="s">
        <v>21</v>
      </c>
      <c r="C32" t="s">
        <v>12</v>
      </c>
      <c r="D32" t="s">
        <v>22</v>
      </c>
      <c r="E32" t="s">
        <v>21</v>
      </c>
      <c r="G32" t="s">
        <v>28</v>
      </c>
      <c r="H32" t="s">
        <v>13</v>
      </c>
      <c r="I32" t="s">
        <v>24</v>
      </c>
      <c r="J32">
        <v>9</v>
      </c>
    </row>
    <row r="33" spans="1:10" x14ac:dyDescent="0.35">
      <c r="A33" t="s">
        <v>3</v>
      </c>
      <c r="B33" t="s">
        <v>21</v>
      </c>
      <c r="C33" t="s">
        <v>21</v>
      </c>
      <c r="D33" t="s">
        <v>22</v>
      </c>
      <c r="E33" t="s">
        <v>21</v>
      </c>
      <c r="G33" t="s">
        <v>28</v>
      </c>
      <c r="H33" t="s">
        <v>4</v>
      </c>
      <c r="J33">
        <f>SUM(J30:J32)</f>
        <v>24</v>
      </c>
    </row>
    <row r="34" spans="1:10" x14ac:dyDescent="0.35">
      <c r="A34" t="s">
        <v>4</v>
      </c>
      <c r="B34" t="s">
        <v>12</v>
      </c>
      <c r="C34" t="s">
        <v>21</v>
      </c>
      <c r="D34" t="s">
        <v>22</v>
      </c>
      <c r="E34" t="s">
        <v>12</v>
      </c>
    </row>
    <row r="35" spans="1:10" x14ac:dyDescent="0.35">
      <c r="A35" t="s">
        <v>5</v>
      </c>
      <c r="B35" t="s">
        <v>12</v>
      </c>
      <c r="C35" t="s">
        <v>21</v>
      </c>
      <c r="D35" t="s">
        <v>22</v>
      </c>
      <c r="E35" t="s">
        <v>12</v>
      </c>
    </row>
    <row r="37" spans="1:10" x14ac:dyDescent="0.35">
      <c r="A37" s="2" t="s">
        <v>18</v>
      </c>
    </row>
    <row r="38" spans="1:10" x14ac:dyDescent="0.35"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 t="s">
        <v>10</v>
      </c>
    </row>
    <row r="39" spans="1:10" x14ac:dyDescent="0.35">
      <c r="A39" t="s">
        <v>0</v>
      </c>
      <c r="B39" t="s">
        <v>22</v>
      </c>
      <c r="C39" t="s">
        <v>22</v>
      </c>
      <c r="D39" t="s">
        <v>26</v>
      </c>
      <c r="E39" t="s">
        <v>26</v>
      </c>
      <c r="G39" t="s">
        <v>25</v>
      </c>
      <c r="H39" t="s">
        <v>0</v>
      </c>
      <c r="I39" t="s">
        <v>24</v>
      </c>
      <c r="J39">
        <v>14</v>
      </c>
    </row>
    <row r="40" spans="1:10" x14ac:dyDescent="0.35">
      <c r="A40" t="s">
        <v>1</v>
      </c>
      <c r="B40" t="s">
        <v>22</v>
      </c>
      <c r="C40" t="s">
        <v>22</v>
      </c>
      <c r="D40" t="s">
        <v>26</v>
      </c>
      <c r="E40" t="s">
        <v>26</v>
      </c>
      <c r="G40" t="s">
        <v>25</v>
      </c>
      <c r="H40" t="s">
        <v>1</v>
      </c>
      <c r="I40" t="s">
        <v>27</v>
      </c>
      <c r="J40">
        <v>10</v>
      </c>
    </row>
    <row r="41" spans="1:10" x14ac:dyDescent="0.35">
      <c r="A41" t="s">
        <v>2</v>
      </c>
      <c r="B41" t="s">
        <v>22</v>
      </c>
      <c r="C41" t="s">
        <v>22</v>
      </c>
      <c r="D41" t="s">
        <v>26</v>
      </c>
      <c r="E41" t="s">
        <v>26</v>
      </c>
      <c r="G41" t="s">
        <v>25</v>
      </c>
      <c r="H41" t="s">
        <v>13</v>
      </c>
      <c r="J41">
        <v>24</v>
      </c>
    </row>
    <row r="42" spans="1:10" x14ac:dyDescent="0.35">
      <c r="A42" t="s">
        <v>3</v>
      </c>
      <c r="B42" t="s">
        <v>22</v>
      </c>
      <c r="C42" t="s">
        <v>22</v>
      </c>
      <c r="D42" t="s">
        <v>26</v>
      </c>
      <c r="E42" t="s">
        <v>26</v>
      </c>
      <c r="G42" t="s">
        <v>25</v>
      </c>
      <c r="H42" t="s">
        <v>4</v>
      </c>
    </row>
    <row r="43" spans="1:10" x14ac:dyDescent="0.35">
      <c r="A43" t="s">
        <v>4</v>
      </c>
      <c r="B43" t="s">
        <v>22</v>
      </c>
      <c r="C43" t="s">
        <v>22</v>
      </c>
      <c r="D43" t="s">
        <v>26</v>
      </c>
      <c r="E43" t="s">
        <v>26</v>
      </c>
    </row>
    <row r="44" spans="1:10" x14ac:dyDescent="0.35">
      <c r="A44" t="s">
        <v>5</v>
      </c>
      <c r="B44" t="s">
        <v>22</v>
      </c>
      <c r="C44" t="s">
        <v>22</v>
      </c>
      <c r="D44" t="s">
        <v>26</v>
      </c>
      <c r="E4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D6EA-CDDC-4E42-9516-C7608D533FE2}">
  <sheetPr>
    <pageSetUpPr fitToPage="1"/>
  </sheetPr>
  <dimension ref="B1:T49"/>
  <sheetViews>
    <sheetView showGridLines="0" topLeftCell="A24" zoomScale="85" zoomScaleNormal="85" workbookViewId="0">
      <selection activeCell="T42" sqref="T42"/>
    </sheetView>
  </sheetViews>
  <sheetFormatPr defaultColWidth="10.90625" defaultRowHeight="14.5" x14ac:dyDescent="0.35"/>
  <cols>
    <col min="1" max="1" width="2" customWidth="1"/>
    <col min="2" max="2" width="10.90625" style="3"/>
    <col min="3" max="4" width="12.6328125" style="3" customWidth="1"/>
    <col min="5" max="5" width="14.26953125" style="3" customWidth="1"/>
    <col min="6" max="6" width="13.453125" style="3" customWidth="1"/>
    <col min="7" max="7" width="20.7265625" style="3" customWidth="1"/>
    <col min="8" max="8" width="4.36328125" customWidth="1"/>
  </cols>
  <sheetData>
    <row r="1" spans="2:20" x14ac:dyDescent="0.35">
      <c r="B1" s="9" t="s">
        <v>39</v>
      </c>
    </row>
    <row r="2" spans="2:20" x14ac:dyDescent="0.35">
      <c r="B2" s="5"/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R2" t="s">
        <v>54</v>
      </c>
    </row>
    <row r="3" spans="2:20" x14ac:dyDescent="0.35">
      <c r="B3" s="4" t="s">
        <v>0</v>
      </c>
      <c r="C3" s="32" t="s">
        <v>22</v>
      </c>
      <c r="D3" s="42" t="s">
        <v>32</v>
      </c>
      <c r="E3" s="31" t="s">
        <v>31</v>
      </c>
      <c r="F3" s="42" t="s">
        <v>32</v>
      </c>
      <c r="G3" s="31" t="s">
        <v>31</v>
      </c>
      <c r="I3" s="2" t="s">
        <v>44</v>
      </c>
      <c r="N3" t="s">
        <v>19</v>
      </c>
      <c r="O3">
        <f>2.5+2.5+2.5+2.5+2</f>
        <v>12</v>
      </c>
      <c r="Q3" t="s">
        <v>53</v>
      </c>
      <c r="R3" t="s">
        <v>0</v>
      </c>
      <c r="T3">
        <v>1</v>
      </c>
    </row>
    <row r="4" spans="2:20" x14ac:dyDescent="0.35">
      <c r="B4" s="4" t="s">
        <v>1</v>
      </c>
      <c r="C4" s="32"/>
      <c r="D4" s="41"/>
      <c r="E4" s="41"/>
      <c r="F4" s="41"/>
      <c r="G4" s="31"/>
      <c r="I4" s="2" t="s">
        <v>50</v>
      </c>
      <c r="N4" t="s">
        <v>20</v>
      </c>
      <c r="O4">
        <f>2.5+2.5+2.5</f>
        <v>7.5</v>
      </c>
    </row>
    <row r="5" spans="2:20" x14ac:dyDescent="0.35">
      <c r="B5" s="4" t="s">
        <v>2</v>
      </c>
      <c r="C5" s="32"/>
      <c r="D5" s="41"/>
      <c r="E5" s="41"/>
      <c r="F5" s="41"/>
      <c r="G5" s="32" t="s">
        <v>36</v>
      </c>
      <c r="N5" t="s">
        <v>24</v>
      </c>
      <c r="O5">
        <f>2.5+2</f>
        <v>4.5</v>
      </c>
    </row>
    <row r="6" spans="2:20" x14ac:dyDescent="0.35">
      <c r="B6" s="4" t="s">
        <v>3</v>
      </c>
      <c r="C6" s="31" t="s">
        <v>31</v>
      </c>
      <c r="D6" s="31" t="s">
        <v>31</v>
      </c>
      <c r="E6" s="42" t="s">
        <v>32</v>
      </c>
      <c r="F6" s="31" t="s">
        <v>31</v>
      </c>
      <c r="G6" s="32"/>
    </row>
    <row r="7" spans="2:20" x14ac:dyDescent="0.35">
      <c r="B7" s="4" t="s">
        <v>4</v>
      </c>
      <c r="C7" s="41"/>
      <c r="D7" s="41"/>
      <c r="E7" s="41"/>
      <c r="F7" s="41"/>
      <c r="G7" s="32"/>
    </row>
    <row r="8" spans="2:20" x14ac:dyDescent="0.35">
      <c r="B8" s="4" t="s">
        <v>5</v>
      </c>
      <c r="C8" s="41"/>
      <c r="D8" s="41"/>
      <c r="E8" s="41"/>
      <c r="F8" s="41"/>
      <c r="G8" s="6"/>
    </row>
    <row r="10" spans="2:20" x14ac:dyDescent="0.35">
      <c r="B10" s="9" t="s">
        <v>40</v>
      </c>
    </row>
    <row r="11" spans="2:20" x14ac:dyDescent="0.35">
      <c r="B11" s="5"/>
      <c r="C11" s="4" t="s">
        <v>6</v>
      </c>
      <c r="D11" s="4" t="s">
        <v>7</v>
      </c>
      <c r="E11" s="4" t="s">
        <v>8</v>
      </c>
      <c r="F11" s="4" t="s">
        <v>9</v>
      </c>
      <c r="G11" s="8" t="s">
        <v>10</v>
      </c>
    </row>
    <row r="12" spans="2:20" ht="14.5" customHeight="1" x14ac:dyDescent="0.35">
      <c r="B12" s="4" t="s">
        <v>0</v>
      </c>
      <c r="C12" s="27" t="s">
        <v>32</v>
      </c>
      <c r="D12" s="21" t="s">
        <v>32</v>
      </c>
      <c r="E12" s="40" t="s">
        <v>31</v>
      </c>
      <c r="F12" s="27" t="s">
        <v>32</v>
      </c>
      <c r="G12" s="32" t="s">
        <v>36</v>
      </c>
      <c r="I12" s="2" t="s">
        <v>49</v>
      </c>
      <c r="N12" t="s">
        <v>19</v>
      </c>
      <c r="O12">
        <f>3+2.5+3+2</f>
        <v>10.5</v>
      </c>
    </row>
    <row r="13" spans="2:20" x14ac:dyDescent="0.35">
      <c r="B13" s="4" t="s">
        <v>1</v>
      </c>
      <c r="C13" s="28"/>
      <c r="D13" s="15"/>
      <c r="E13" s="43"/>
      <c r="F13" s="28"/>
      <c r="G13" s="32"/>
      <c r="N13" t="s">
        <v>23</v>
      </c>
      <c r="O13">
        <v>3</v>
      </c>
    </row>
    <row r="14" spans="2:20" x14ac:dyDescent="0.35">
      <c r="B14" s="4" t="s">
        <v>2</v>
      </c>
      <c r="C14" s="40" t="s">
        <v>31</v>
      </c>
      <c r="D14" s="16"/>
      <c r="E14" s="43"/>
      <c r="F14" s="11" t="s">
        <v>33</v>
      </c>
      <c r="G14" s="38" t="s">
        <v>37</v>
      </c>
      <c r="N14" t="s">
        <v>20</v>
      </c>
      <c r="O14">
        <f>2+2.5+2+2</f>
        <v>8.5</v>
      </c>
    </row>
    <row r="15" spans="2:20" x14ac:dyDescent="0.35">
      <c r="B15" s="4" t="s">
        <v>3</v>
      </c>
      <c r="C15" s="15"/>
      <c r="D15" s="40" t="s">
        <v>31</v>
      </c>
      <c r="E15" s="43"/>
      <c r="F15" s="15"/>
      <c r="G15" s="38"/>
      <c r="N15" t="s">
        <v>24</v>
      </c>
      <c r="O15">
        <v>2</v>
      </c>
    </row>
    <row r="16" spans="2:20" x14ac:dyDescent="0.35">
      <c r="B16" s="4" t="s">
        <v>4</v>
      </c>
      <c r="C16" s="15"/>
      <c r="D16" s="15"/>
      <c r="E16" s="27" t="s">
        <v>32</v>
      </c>
      <c r="F16" s="15"/>
      <c r="G16" s="38"/>
    </row>
    <row r="17" spans="2:20" x14ac:dyDescent="0.35">
      <c r="B17" s="4" t="s">
        <v>5</v>
      </c>
      <c r="C17" s="16"/>
      <c r="D17" s="16"/>
      <c r="E17" s="28"/>
      <c r="F17" s="16"/>
      <c r="G17" s="7"/>
    </row>
    <row r="19" spans="2:20" x14ac:dyDescent="0.35">
      <c r="B19" s="9" t="s">
        <v>41</v>
      </c>
    </row>
    <row r="20" spans="2:20" x14ac:dyDescent="0.35">
      <c r="B20" s="5"/>
      <c r="C20" s="4" t="s">
        <v>6</v>
      </c>
      <c r="D20" s="4" t="s">
        <v>7</v>
      </c>
      <c r="E20" s="4" t="s">
        <v>8</v>
      </c>
      <c r="F20" s="4" t="s">
        <v>9</v>
      </c>
      <c r="G20" s="8" t="s">
        <v>10</v>
      </c>
      <c r="R20" t="s">
        <v>55</v>
      </c>
      <c r="S20" t="s">
        <v>57</v>
      </c>
    </row>
    <row r="21" spans="2:20" x14ac:dyDescent="0.35">
      <c r="B21" s="4" t="s">
        <v>0</v>
      </c>
      <c r="C21" s="17" t="s">
        <v>30</v>
      </c>
      <c r="D21" s="21" t="s">
        <v>32</v>
      </c>
      <c r="E21" s="14" t="s">
        <v>45</v>
      </c>
      <c r="F21" s="27" t="s">
        <v>32</v>
      </c>
      <c r="G21" s="14" t="s">
        <v>22</v>
      </c>
      <c r="I21" s="2" t="s">
        <v>46</v>
      </c>
      <c r="N21" t="s">
        <v>23</v>
      </c>
      <c r="O21">
        <f>2.5+3</f>
        <v>5.5</v>
      </c>
      <c r="Q21" t="s">
        <v>53</v>
      </c>
      <c r="R21" t="s">
        <v>58</v>
      </c>
      <c r="S21" t="s">
        <v>56</v>
      </c>
      <c r="T21">
        <v>4.5</v>
      </c>
    </row>
    <row r="22" spans="2:20" x14ac:dyDescent="0.35">
      <c r="B22" s="4" t="s">
        <v>1</v>
      </c>
      <c r="C22" s="18"/>
      <c r="D22" s="15"/>
      <c r="E22" s="15"/>
      <c r="F22" s="28"/>
      <c r="G22" s="33"/>
      <c r="I22" s="2"/>
      <c r="N22" t="s">
        <v>20</v>
      </c>
      <c r="O22">
        <f>2.5+2</f>
        <v>4.5</v>
      </c>
    </row>
    <row r="23" spans="2:20" ht="14.5" customHeight="1" x14ac:dyDescent="0.35">
      <c r="B23" s="4" t="s">
        <v>2</v>
      </c>
      <c r="C23" s="19"/>
      <c r="D23" s="16"/>
      <c r="E23" s="15"/>
      <c r="F23" s="29" t="s">
        <v>33</v>
      </c>
      <c r="G23" s="33"/>
      <c r="N23" t="s">
        <v>24</v>
      </c>
      <c r="O23">
        <f>5+4</f>
        <v>9</v>
      </c>
    </row>
    <row r="24" spans="2:20" x14ac:dyDescent="0.35">
      <c r="B24" s="4" t="s">
        <v>3</v>
      </c>
      <c r="C24" s="19"/>
      <c r="D24" s="11" t="s">
        <v>33</v>
      </c>
      <c r="E24" s="15"/>
      <c r="F24" s="30"/>
      <c r="G24" s="33"/>
    </row>
    <row r="25" spans="2:20" x14ac:dyDescent="0.35">
      <c r="B25" s="4" t="s">
        <v>4</v>
      </c>
      <c r="C25" s="19"/>
      <c r="D25" s="12"/>
      <c r="E25" s="15"/>
      <c r="F25" s="30"/>
      <c r="G25" s="34"/>
    </row>
    <row r="26" spans="2:20" x14ac:dyDescent="0.35">
      <c r="B26" s="4" t="s">
        <v>5</v>
      </c>
      <c r="C26" s="20"/>
      <c r="D26" s="13"/>
      <c r="E26" s="16"/>
      <c r="F26" s="16"/>
      <c r="G26" s="7"/>
    </row>
    <row r="28" spans="2:20" x14ac:dyDescent="0.35">
      <c r="B28" s="9" t="s">
        <v>42</v>
      </c>
    </row>
    <row r="29" spans="2:20" x14ac:dyDescent="0.35">
      <c r="B29" s="5"/>
      <c r="C29" s="4" t="s">
        <v>6</v>
      </c>
      <c r="D29" s="4" t="s">
        <v>7</v>
      </c>
      <c r="E29" s="4" t="s">
        <v>8</v>
      </c>
      <c r="F29" s="4" t="s">
        <v>9</v>
      </c>
      <c r="G29" s="8" t="s">
        <v>10</v>
      </c>
      <c r="R29" t="s">
        <v>57</v>
      </c>
      <c r="T29">
        <v>2</v>
      </c>
    </row>
    <row r="30" spans="2:20" ht="14.5" customHeight="1" x14ac:dyDescent="0.35">
      <c r="B30" s="4" t="s">
        <v>0</v>
      </c>
      <c r="C30" s="21" t="s">
        <v>32</v>
      </c>
      <c r="D30" s="21" t="s">
        <v>32</v>
      </c>
      <c r="E30" s="11" t="s">
        <v>33</v>
      </c>
      <c r="F30" s="27" t="s">
        <v>32</v>
      </c>
      <c r="G30" s="14" t="s">
        <v>36</v>
      </c>
      <c r="I30" s="2" t="s">
        <v>48</v>
      </c>
      <c r="N30" t="s">
        <v>23</v>
      </c>
      <c r="O30">
        <f>3+2.5+2+3</f>
        <v>10.5</v>
      </c>
      <c r="Q30" t="s">
        <v>53</v>
      </c>
      <c r="R30" t="s">
        <v>56</v>
      </c>
    </row>
    <row r="31" spans="2:20" x14ac:dyDescent="0.35">
      <c r="B31" s="4" t="s">
        <v>1</v>
      </c>
      <c r="C31" s="25"/>
      <c r="D31" s="26"/>
      <c r="E31" s="13"/>
      <c r="F31" s="28"/>
      <c r="G31" s="33"/>
      <c r="N31" t="s">
        <v>20</v>
      </c>
      <c r="O31">
        <f>2+2.5+2</f>
        <v>6.5</v>
      </c>
    </row>
    <row r="32" spans="2:20" ht="14.5" customHeight="1" x14ac:dyDescent="0.35">
      <c r="B32" s="4" t="s">
        <v>2</v>
      </c>
      <c r="C32" s="11" t="s">
        <v>33</v>
      </c>
      <c r="D32" s="25"/>
      <c r="E32" s="14" t="s">
        <v>22</v>
      </c>
      <c r="F32" s="35" t="s">
        <v>34</v>
      </c>
      <c r="G32" s="33"/>
      <c r="N32" t="s">
        <v>24</v>
      </c>
      <c r="O32">
        <f>3+4</f>
        <v>7</v>
      </c>
    </row>
    <row r="33" spans="2:20" x14ac:dyDescent="0.35">
      <c r="B33" s="4" t="s">
        <v>3</v>
      </c>
      <c r="C33" s="12"/>
      <c r="D33" s="11" t="s">
        <v>33</v>
      </c>
      <c r="E33" s="22"/>
      <c r="F33" s="36"/>
      <c r="G33" s="33"/>
    </row>
    <row r="34" spans="2:20" x14ac:dyDescent="0.35">
      <c r="B34" s="4" t="s">
        <v>4</v>
      </c>
      <c r="C34" s="12"/>
      <c r="D34" s="12"/>
      <c r="E34" s="22"/>
      <c r="F34" s="36"/>
      <c r="G34" s="34"/>
    </row>
    <row r="35" spans="2:20" x14ac:dyDescent="0.35">
      <c r="B35" s="4" t="s">
        <v>5</v>
      </c>
      <c r="C35" s="13"/>
      <c r="D35" s="13"/>
      <c r="E35" s="23"/>
      <c r="F35" s="37"/>
      <c r="G35" s="7"/>
    </row>
    <row r="37" spans="2:20" x14ac:dyDescent="0.35">
      <c r="B37" s="9" t="s">
        <v>43</v>
      </c>
    </row>
    <row r="38" spans="2:20" x14ac:dyDescent="0.35">
      <c r="B38" s="5"/>
      <c r="C38" s="4" t="s">
        <v>6</v>
      </c>
      <c r="D38" s="4" t="s">
        <v>7</v>
      </c>
      <c r="E38" s="4" t="s">
        <v>8</v>
      </c>
      <c r="F38" s="4" t="s">
        <v>9</v>
      </c>
      <c r="G38" s="8" t="s">
        <v>10</v>
      </c>
      <c r="R38" t="s">
        <v>55</v>
      </c>
      <c r="S38" t="s">
        <v>57</v>
      </c>
    </row>
    <row r="39" spans="2:20" ht="14.5" customHeight="1" x14ac:dyDescent="0.35">
      <c r="B39" s="4" t="s">
        <v>0</v>
      </c>
      <c r="C39" s="11" t="s">
        <v>33</v>
      </c>
      <c r="D39" s="27" t="s">
        <v>32</v>
      </c>
      <c r="E39" s="14" t="s">
        <v>22</v>
      </c>
      <c r="F39" s="39" t="s">
        <v>29</v>
      </c>
      <c r="G39" s="14" t="s">
        <v>35</v>
      </c>
      <c r="I39" s="2" t="s">
        <v>47</v>
      </c>
      <c r="N39" t="s">
        <v>23</v>
      </c>
      <c r="O39">
        <f>3+3</f>
        <v>6</v>
      </c>
      <c r="Q39" t="s">
        <v>53</v>
      </c>
      <c r="R39" t="s">
        <v>56</v>
      </c>
      <c r="S39" t="s">
        <v>58</v>
      </c>
      <c r="T39">
        <v>4.5</v>
      </c>
    </row>
    <row r="40" spans="2:20" x14ac:dyDescent="0.35">
      <c r="B40" s="4" t="s">
        <v>1</v>
      </c>
      <c r="C40" s="12"/>
      <c r="D40" s="28"/>
      <c r="E40" s="15"/>
      <c r="F40" s="15"/>
      <c r="G40" s="33"/>
      <c r="I40" s="2" t="s">
        <v>51</v>
      </c>
      <c r="N40" t="s">
        <v>20</v>
      </c>
      <c r="O40">
        <v>2</v>
      </c>
    </row>
    <row r="41" spans="2:20" x14ac:dyDescent="0.35">
      <c r="B41" s="4" t="s">
        <v>2</v>
      </c>
      <c r="C41" s="12"/>
      <c r="D41" s="29" t="s">
        <v>33</v>
      </c>
      <c r="E41" s="15"/>
      <c r="F41" s="15"/>
      <c r="G41" s="33"/>
      <c r="I41" s="2" t="s">
        <v>52</v>
      </c>
      <c r="N41" t="s">
        <v>24</v>
      </c>
      <c r="O41">
        <f>2+5+4</f>
        <v>11</v>
      </c>
    </row>
    <row r="42" spans="2:20" x14ac:dyDescent="0.35">
      <c r="B42" s="4" t="s">
        <v>3</v>
      </c>
      <c r="C42" s="13"/>
      <c r="D42" s="30"/>
      <c r="E42" s="15"/>
      <c r="F42" s="15"/>
      <c r="G42" s="33"/>
      <c r="T42">
        <f>SUM(T3:T39)</f>
        <v>12</v>
      </c>
    </row>
    <row r="43" spans="2:20" x14ac:dyDescent="0.35">
      <c r="B43" s="4" t="s">
        <v>4</v>
      </c>
      <c r="C43" s="14" t="s">
        <v>22</v>
      </c>
      <c r="D43" s="30"/>
      <c r="E43" s="15"/>
      <c r="F43" s="15"/>
      <c r="G43" s="34"/>
      <c r="O43">
        <f>SUM(O3:O41)</f>
        <v>110</v>
      </c>
    </row>
    <row r="44" spans="2:20" x14ac:dyDescent="0.35">
      <c r="B44" s="4" t="s">
        <v>5</v>
      </c>
      <c r="C44" s="24"/>
      <c r="D44" s="16"/>
      <c r="E44" s="16"/>
      <c r="F44" s="16"/>
      <c r="G44" s="7"/>
    </row>
    <row r="45" spans="2:20" x14ac:dyDescent="0.35">
      <c r="M45" t="s">
        <v>19</v>
      </c>
      <c r="N45">
        <f>O3+O12</f>
        <v>22.5</v>
      </c>
    </row>
    <row r="46" spans="2:20" x14ac:dyDescent="0.35">
      <c r="M46" t="s">
        <v>23</v>
      </c>
      <c r="N46">
        <f>O13+O21+O30+O39</f>
        <v>25</v>
      </c>
      <c r="O46">
        <f>SUM(N45:N46)</f>
        <v>47.5</v>
      </c>
      <c r="Q46">
        <f>O46+T42</f>
        <v>59.5</v>
      </c>
    </row>
    <row r="47" spans="2:20" x14ac:dyDescent="0.35">
      <c r="M47" t="s">
        <v>20</v>
      </c>
      <c r="N47">
        <f>O4+O14+O22+O31+O40</f>
        <v>29</v>
      </c>
    </row>
    <row r="48" spans="2:20" x14ac:dyDescent="0.35">
      <c r="M48" t="s">
        <v>24</v>
      </c>
      <c r="N48">
        <f>O5+O15+O23+O32+O41</f>
        <v>33.5</v>
      </c>
    </row>
    <row r="49" spans="14:14" x14ac:dyDescent="0.35">
      <c r="N49">
        <f>SUM(N45:N48)</f>
        <v>110</v>
      </c>
    </row>
  </sheetData>
  <mergeCells count="43">
    <mergeCell ref="C3:C5"/>
    <mergeCell ref="D3:D5"/>
    <mergeCell ref="F3:F5"/>
    <mergeCell ref="E3:E5"/>
    <mergeCell ref="C6:C8"/>
    <mergeCell ref="D6:D8"/>
    <mergeCell ref="C12:C13"/>
    <mergeCell ref="C14:C17"/>
    <mergeCell ref="D15:D17"/>
    <mergeCell ref="F6:F8"/>
    <mergeCell ref="E6:E8"/>
    <mergeCell ref="D12:D14"/>
    <mergeCell ref="E12:E15"/>
    <mergeCell ref="E16:E17"/>
    <mergeCell ref="G3:G4"/>
    <mergeCell ref="G5:G7"/>
    <mergeCell ref="G39:G43"/>
    <mergeCell ref="F30:F31"/>
    <mergeCell ref="F32:F35"/>
    <mergeCell ref="G30:G34"/>
    <mergeCell ref="F21:F22"/>
    <mergeCell ref="F23:F26"/>
    <mergeCell ref="G21:G25"/>
    <mergeCell ref="G12:G13"/>
    <mergeCell ref="G14:G16"/>
    <mergeCell ref="F39:F44"/>
    <mergeCell ref="F12:F13"/>
    <mergeCell ref="F14:F17"/>
    <mergeCell ref="D24:D26"/>
    <mergeCell ref="E21:E26"/>
    <mergeCell ref="C21:C26"/>
    <mergeCell ref="D21:D23"/>
    <mergeCell ref="C39:C42"/>
    <mergeCell ref="E39:E44"/>
    <mergeCell ref="E30:E31"/>
    <mergeCell ref="E32:E35"/>
    <mergeCell ref="C43:C44"/>
    <mergeCell ref="C30:C31"/>
    <mergeCell ref="C32:C35"/>
    <mergeCell ref="D30:D32"/>
    <mergeCell ref="D33:D35"/>
    <mergeCell ref="D39:D40"/>
    <mergeCell ref="D41:D44"/>
  </mergeCells>
  <pageMargins left="0.7" right="0.7" top="0.75" bottom="0.75" header="0.3" footer="0.3"/>
  <pageSetup scale="4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7E681-EF35-4E47-B127-B6032E8D9435}">
  <sheetPr>
    <pageSetUpPr fitToPage="1"/>
  </sheetPr>
  <dimension ref="A1:N53"/>
  <sheetViews>
    <sheetView showGridLines="0" topLeftCell="A34" zoomScale="89" zoomScaleNormal="89" workbookViewId="0">
      <selection sqref="A1:F53"/>
    </sheetView>
  </sheetViews>
  <sheetFormatPr defaultColWidth="10.90625" defaultRowHeight="14.5" x14ac:dyDescent="0.35"/>
  <cols>
    <col min="1" max="1" width="10.90625" style="3"/>
    <col min="2" max="2" width="12.6328125" style="3" customWidth="1"/>
    <col min="3" max="3" width="15.1796875" style="3" customWidth="1"/>
    <col min="4" max="4" width="17.36328125" style="3" customWidth="1"/>
    <col min="5" max="5" width="13" style="3" customWidth="1"/>
    <col min="6" max="6" width="20.08984375" style="3" customWidth="1"/>
    <col min="7" max="7" width="6.6328125" customWidth="1"/>
    <col min="8" max="8" width="67.36328125" customWidth="1"/>
  </cols>
  <sheetData>
    <row r="1" spans="1:14" x14ac:dyDescent="0.35">
      <c r="A1" s="9" t="s">
        <v>59</v>
      </c>
    </row>
    <row r="2" spans="1:14" x14ac:dyDescent="0.35">
      <c r="A2" s="5"/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J2" t="s">
        <v>54</v>
      </c>
    </row>
    <row r="3" spans="1:14" x14ac:dyDescent="0.35">
      <c r="A3" s="4" t="s">
        <v>0</v>
      </c>
      <c r="B3" s="14" t="s">
        <v>22</v>
      </c>
      <c r="C3" s="42" t="s">
        <v>32</v>
      </c>
      <c r="D3" s="14" t="s">
        <v>22</v>
      </c>
      <c r="E3" s="42" t="s">
        <v>32</v>
      </c>
      <c r="F3" s="31" t="s">
        <v>31</v>
      </c>
      <c r="I3" t="s">
        <v>53</v>
      </c>
      <c r="J3" t="s">
        <v>0</v>
      </c>
      <c r="L3">
        <v>1</v>
      </c>
      <c r="N3" s="31" t="s">
        <v>31</v>
      </c>
    </row>
    <row r="4" spans="1:14" x14ac:dyDescent="0.35">
      <c r="A4" s="4" t="s">
        <v>1</v>
      </c>
      <c r="B4" s="24"/>
      <c r="C4" s="41"/>
      <c r="D4" s="43"/>
      <c r="E4" s="41"/>
      <c r="F4" s="31"/>
      <c r="L4" t="s">
        <v>69</v>
      </c>
      <c r="N4" s="41"/>
    </row>
    <row r="5" spans="1:14" ht="14.5" customHeight="1" x14ac:dyDescent="0.35">
      <c r="A5" s="4" t="s">
        <v>2</v>
      </c>
      <c r="B5" s="40" t="s">
        <v>31</v>
      </c>
      <c r="C5" s="41"/>
      <c r="D5" s="43"/>
      <c r="E5" s="41"/>
      <c r="F5" s="14" t="s">
        <v>22</v>
      </c>
      <c r="H5" t="s">
        <v>72</v>
      </c>
      <c r="J5" t="s">
        <v>55</v>
      </c>
      <c r="N5" s="41"/>
    </row>
    <row r="6" spans="1:14" x14ac:dyDescent="0.35">
      <c r="A6" s="4" t="s">
        <v>3</v>
      </c>
      <c r="B6" s="43"/>
      <c r="C6" s="31" t="s">
        <v>31</v>
      </c>
      <c r="D6" s="43"/>
      <c r="E6" s="31" t="s">
        <v>31</v>
      </c>
      <c r="F6" s="43"/>
      <c r="J6" t="s">
        <v>73</v>
      </c>
      <c r="L6">
        <v>4</v>
      </c>
      <c r="N6" s="42" t="s">
        <v>32</v>
      </c>
    </row>
    <row r="7" spans="1:14" x14ac:dyDescent="0.35">
      <c r="A7" s="4" t="s">
        <v>4</v>
      </c>
      <c r="B7" s="43"/>
      <c r="C7" s="41"/>
      <c r="D7" s="24"/>
      <c r="E7" s="41"/>
      <c r="F7" s="24"/>
      <c r="N7" s="41"/>
    </row>
    <row r="8" spans="1:14" ht="19.5" customHeight="1" x14ac:dyDescent="0.35">
      <c r="A8" s="4" t="s">
        <v>5</v>
      </c>
      <c r="B8" s="24"/>
      <c r="C8" s="41"/>
      <c r="D8" s="10" t="s">
        <v>31</v>
      </c>
      <c r="E8" s="41"/>
      <c r="F8" s="6"/>
      <c r="N8" s="41"/>
    </row>
    <row r="10" spans="1:14" x14ac:dyDescent="0.35">
      <c r="A10" s="9" t="s">
        <v>60</v>
      </c>
    </row>
    <row r="11" spans="1:14" x14ac:dyDescent="0.35">
      <c r="A11" s="5"/>
      <c r="B11" s="4" t="s">
        <v>6</v>
      </c>
      <c r="C11" s="4" t="s">
        <v>7</v>
      </c>
      <c r="D11" s="4" t="s">
        <v>8</v>
      </c>
      <c r="E11" s="4" t="s">
        <v>9</v>
      </c>
      <c r="F11" s="8" t="s">
        <v>10</v>
      </c>
    </row>
    <row r="12" spans="1:14" ht="14.5" customHeight="1" x14ac:dyDescent="0.35">
      <c r="A12" s="4" t="s">
        <v>0</v>
      </c>
      <c r="B12" s="27" t="s">
        <v>32</v>
      </c>
      <c r="C12" s="21" t="s">
        <v>32</v>
      </c>
      <c r="D12" s="31" t="s">
        <v>31</v>
      </c>
      <c r="E12" s="27" t="s">
        <v>32</v>
      </c>
      <c r="F12" s="32" t="s">
        <v>36</v>
      </c>
    </row>
    <row r="13" spans="1:14" x14ac:dyDescent="0.35">
      <c r="A13" s="4" t="s">
        <v>1</v>
      </c>
      <c r="B13" s="28"/>
      <c r="C13" s="15"/>
      <c r="D13" s="41"/>
      <c r="E13" s="28"/>
      <c r="F13" s="32"/>
    </row>
    <row r="14" spans="1:14" x14ac:dyDescent="0.35">
      <c r="A14" s="4" t="s">
        <v>2</v>
      </c>
      <c r="B14" s="40" t="s">
        <v>31</v>
      </c>
      <c r="C14" s="16"/>
      <c r="D14" s="41"/>
      <c r="E14" s="40" t="s">
        <v>31</v>
      </c>
      <c r="F14" s="31" t="s">
        <v>37</v>
      </c>
    </row>
    <row r="15" spans="1:14" x14ac:dyDescent="0.35">
      <c r="A15" s="4" t="s">
        <v>3</v>
      </c>
      <c r="B15" s="15"/>
      <c r="C15" s="40" t="s">
        <v>31</v>
      </c>
      <c r="D15" s="32" t="s">
        <v>22</v>
      </c>
      <c r="E15" s="15"/>
      <c r="F15" s="31"/>
    </row>
    <row r="16" spans="1:14" x14ac:dyDescent="0.35">
      <c r="A16" s="4" t="s">
        <v>4</v>
      </c>
      <c r="B16" s="15"/>
      <c r="C16" s="15"/>
      <c r="D16" s="32"/>
      <c r="E16" s="15"/>
      <c r="F16" s="31"/>
    </row>
    <row r="17" spans="1:12" x14ac:dyDescent="0.35">
      <c r="A17" s="4" t="s">
        <v>5</v>
      </c>
      <c r="B17" s="16"/>
      <c r="C17" s="16"/>
      <c r="D17" s="32"/>
      <c r="E17" s="16"/>
      <c r="F17" s="7"/>
    </row>
    <row r="19" spans="1:12" x14ac:dyDescent="0.35">
      <c r="A19" s="9" t="s">
        <v>61</v>
      </c>
    </row>
    <row r="20" spans="1:12" x14ac:dyDescent="0.35">
      <c r="A20" s="5"/>
      <c r="B20" s="4" t="s">
        <v>6</v>
      </c>
      <c r="C20" s="4" t="s">
        <v>7</v>
      </c>
      <c r="D20" s="4" t="s">
        <v>8</v>
      </c>
      <c r="E20" s="4" t="s">
        <v>9</v>
      </c>
      <c r="F20" s="8" t="s">
        <v>10</v>
      </c>
      <c r="J20" t="s">
        <v>55</v>
      </c>
      <c r="K20" t="s">
        <v>57</v>
      </c>
    </row>
    <row r="21" spans="1:12" ht="14.5" customHeight="1" x14ac:dyDescent="0.35">
      <c r="A21" s="4" t="s">
        <v>0</v>
      </c>
      <c r="B21" s="27" t="s">
        <v>32</v>
      </c>
      <c r="C21" s="21" t="s">
        <v>32</v>
      </c>
      <c r="D21" s="14" t="s">
        <v>22</v>
      </c>
      <c r="E21" s="27" t="s">
        <v>32</v>
      </c>
      <c r="F21" s="14" t="s">
        <v>68</v>
      </c>
      <c r="H21" t="s">
        <v>71</v>
      </c>
      <c r="I21" t="s">
        <v>53</v>
      </c>
      <c r="J21" t="s">
        <v>65</v>
      </c>
      <c r="K21" t="s">
        <v>74</v>
      </c>
      <c r="L21">
        <v>5</v>
      </c>
    </row>
    <row r="22" spans="1:12" x14ac:dyDescent="0.35">
      <c r="A22" s="4" t="s">
        <v>1</v>
      </c>
      <c r="B22" s="28"/>
      <c r="C22" s="15"/>
      <c r="D22" s="43"/>
      <c r="E22" s="28"/>
      <c r="F22" s="33"/>
    </row>
    <row r="23" spans="1:12" ht="14.5" customHeight="1" x14ac:dyDescent="0.35">
      <c r="A23" s="4" t="s">
        <v>2</v>
      </c>
      <c r="B23" s="11" t="s">
        <v>33</v>
      </c>
      <c r="C23" s="16"/>
      <c r="D23" s="43"/>
      <c r="E23" s="29" t="s">
        <v>33</v>
      </c>
      <c r="F23" s="33"/>
    </row>
    <row r="24" spans="1:12" x14ac:dyDescent="0.35">
      <c r="A24" s="4" t="s">
        <v>3</v>
      </c>
      <c r="B24" s="15"/>
      <c r="C24" s="11" t="s">
        <v>33</v>
      </c>
      <c r="D24" s="24"/>
      <c r="E24" s="30"/>
      <c r="F24" s="33"/>
    </row>
    <row r="25" spans="1:12" x14ac:dyDescent="0.35">
      <c r="A25" s="4" t="s">
        <v>4</v>
      </c>
      <c r="B25" s="15"/>
      <c r="C25" s="12"/>
      <c r="D25" s="27" t="s">
        <v>32</v>
      </c>
      <c r="E25" s="30"/>
      <c r="F25" s="34"/>
    </row>
    <row r="26" spans="1:12" x14ac:dyDescent="0.35">
      <c r="A26" s="4" t="s">
        <v>5</v>
      </c>
      <c r="B26" s="16"/>
      <c r="C26" s="13"/>
      <c r="D26" s="28"/>
      <c r="E26" s="16"/>
      <c r="F26" s="7"/>
    </row>
    <row r="28" spans="1:12" x14ac:dyDescent="0.35">
      <c r="A28" s="9" t="s">
        <v>62</v>
      </c>
    </row>
    <row r="29" spans="1:12" x14ac:dyDescent="0.35">
      <c r="A29" s="5"/>
      <c r="B29" s="4" t="s">
        <v>6</v>
      </c>
      <c r="C29" s="4" t="s">
        <v>7</v>
      </c>
      <c r="D29" s="4" t="s">
        <v>8</v>
      </c>
      <c r="E29" s="4" t="s">
        <v>9</v>
      </c>
      <c r="F29" s="8" t="s">
        <v>10</v>
      </c>
      <c r="J29" t="s">
        <v>55</v>
      </c>
      <c r="K29" t="s">
        <v>57</v>
      </c>
      <c r="L29">
        <v>5</v>
      </c>
    </row>
    <row r="30" spans="1:12" ht="14.5" customHeight="1" x14ac:dyDescent="0.35">
      <c r="A30" s="4" t="s">
        <v>0</v>
      </c>
      <c r="B30" s="21" t="s">
        <v>32</v>
      </c>
      <c r="C30" s="21" t="s">
        <v>32</v>
      </c>
      <c r="D30" s="11" t="s">
        <v>33</v>
      </c>
      <c r="E30" s="27" t="s">
        <v>32</v>
      </c>
      <c r="F30" s="14" t="s">
        <v>36</v>
      </c>
      <c r="I30" t="s">
        <v>53</v>
      </c>
      <c r="J30" t="s">
        <v>67</v>
      </c>
      <c r="K30" t="s">
        <v>66</v>
      </c>
    </row>
    <row r="31" spans="1:12" x14ac:dyDescent="0.35">
      <c r="A31" s="4" t="s">
        <v>1</v>
      </c>
      <c r="B31" s="25"/>
      <c r="C31" s="26"/>
      <c r="D31" s="12"/>
      <c r="E31" s="28"/>
      <c r="F31" s="33"/>
    </row>
    <row r="32" spans="1:12" ht="14.5" customHeight="1" x14ac:dyDescent="0.35">
      <c r="A32" s="4" t="s">
        <v>2</v>
      </c>
      <c r="B32" s="11" t="s">
        <v>33</v>
      </c>
      <c r="C32" s="25"/>
      <c r="D32" s="24"/>
      <c r="E32" s="44" t="s">
        <v>34</v>
      </c>
      <c r="F32" s="33"/>
    </row>
    <row r="33" spans="1:12" x14ac:dyDescent="0.35">
      <c r="A33" s="4" t="s">
        <v>3</v>
      </c>
      <c r="B33" s="12"/>
      <c r="C33" s="11" t="s">
        <v>33</v>
      </c>
      <c r="D33" s="14" t="s">
        <v>22</v>
      </c>
      <c r="E33" s="45"/>
      <c r="F33" s="33"/>
    </row>
    <row r="34" spans="1:12" x14ac:dyDescent="0.35">
      <c r="A34" s="4" t="s">
        <v>4</v>
      </c>
      <c r="B34" s="12"/>
      <c r="C34" s="12"/>
      <c r="D34" s="43"/>
      <c r="E34" s="45"/>
      <c r="F34" s="34"/>
    </row>
    <row r="35" spans="1:12" x14ac:dyDescent="0.35">
      <c r="A35" s="4" t="s">
        <v>5</v>
      </c>
      <c r="B35" s="13"/>
      <c r="C35" s="13"/>
      <c r="D35" s="24"/>
      <c r="E35" s="23"/>
      <c r="F35" s="7"/>
    </row>
    <row r="37" spans="1:12" x14ac:dyDescent="0.35">
      <c r="A37" s="9" t="s">
        <v>63</v>
      </c>
    </row>
    <row r="38" spans="1:12" x14ac:dyDescent="0.35">
      <c r="A38" s="5"/>
      <c r="B38" s="4" t="s">
        <v>6</v>
      </c>
      <c r="C38" s="4" t="s">
        <v>7</v>
      </c>
      <c r="D38" s="4" t="s">
        <v>8</v>
      </c>
      <c r="E38" s="4" t="s">
        <v>9</v>
      </c>
      <c r="F38" s="8" t="s">
        <v>10</v>
      </c>
      <c r="J38" t="s">
        <v>55</v>
      </c>
      <c r="K38" t="s">
        <v>57</v>
      </c>
    </row>
    <row r="39" spans="1:12" ht="14.5" customHeight="1" x14ac:dyDescent="0.35">
      <c r="A39" s="4" t="s">
        <v>0</v>
      </c>
      <c r="B39" s="11" t="s">
        <v>33</v>
      </c>
      <c r="C39" s="21" t="s">
        <v>32</v>
      </c>
      <c r="D39" s="14" t="s">
        <v>38</v>
      </c>
      <c r="E39" s="46" t="s">
        <v>26</v>
      </c>
      <c r="F39" s="46" t="s">
        <v>26</v>
      </c>
      <c r="H39" t="s">
        <v>70</v>
      </c>
      <c r="I39" t="s">
        <v>53</v>
      </c>
      <c r="J39" t="s">
        <v>56</v>
      </c>
      <c r="K39" t="s">
        <v>58</v>
      </c>
    </row>
    <row r="40" spans="1:12" x14ac:dyDescent="0.35">
      <c r="A40" s="4" t="s">
        <v>1</v>
      </c>
      <c r="B40" s="55"/>
      <c r="C40" s="26"/>
      <c r="D40" s="33"/>
      <c r="E40" s="47"/>
      <c r="F40" s="53"/>
    </row>
    <row r="41" spans="1:12" x14ac:dyDescent="0.35">
      <c r="A41" s="4" t="s">
        <v>2</v>
      </c>
      <c r="B41" s="55"/>
      <c r="C41" s="25"/>
      <c r="D41" s="33"/>
      <c r="E41" s="47"/>
      <c r="F41" s="53"/>
    </row>
    <row r="42" spans="1:12" x14ac:dyDescent="0.35">
      <c r="A42" s="4" t="s">
        <v>3</v>
      </c>
      <c r="B42" s="55"/>
      <c r="C42" s="11" t="s">
        <v>33</v>
      </c>
      <c r="D42" s="33"/>
      <c r="E42" s="47"/>
      <c r="F42" s="53"/>
    </row>
    <row r="43" spans="1:12" x14ac:dyDescent="0.35">
      <c r="A43" s="4" t="s">
        <v>4</v>
      </c>
      <c r="B43" s="44" t="s">
        <v>22</v>
      </c>
      <c r="C43" s="12"/>
      <c r="D43" s="33"/>
      <c r="E43" s="47"/>
      <c r="F43" s="54"/>
    </row>
    <row r="44" spans="1:12" x14ac:dyDescent="0.35">
      <c r="A44" s="4" t="s">
        <v>5</v>
      </c>
      <c r="B44" s="56"/>
      <c r="C44" s="13"/>
      <c r="D44" s="34"/>
      <c r="E44" s="48"/>
      <c r="F44" s="7"/>
    </row>
    <row r="46" spans="1:12" x14ac:dyDescent="0.35">
      <c r="A46" s="9" t="s">
        <v>64</v>
      </c>
    </row>
    <row r="47" spans="1:12" x14ac:dyDescent="0.35">
      <c r="A47" s="5"/>
      <c r="B47" s="4" t="s">
        <v>6</v>
      </c>
      <c r="C47" s="4" t="s">
        <v>7</v>
      </c>
      <c r="D47" s="4" t="s">
        <v>8</v>
      </c>
      <c r="E47" s="4" t="s">
        <v>9</v>
      </c>
      <c r="F47" s="8" t="s">
        <v>10</v>
      </c>
    </row>
    <row r="48" spans="1:12" x14ac:dyDescent="0.35">
      <c r="A48" s="4" t="s">
        <v>0</v>
      </c>
      <c r="B48" s="46" t="s">
        <v>26</v>
      </c>
      <c r="C48" s="49"/>
      <c r="D48" s="49"/>
      <c r="E48" s="49"/>
      <c r="F48" s="49"/>
      <c r="L48">
        <f>SUM(L3:L39)</f>
        <v>15</v>
      </c>
    </row>
    <row r="49" spans="1:6" x14ac:dyDescent="0.35">
      <c r="A49" s="4" t="s">
        <v>1</v>
      </c>
      <c r="B49" s="47"/>
      <c r="C49" s="50"/>
      <c r="D49" s="50"/>
      <c r="E49" s="52"/>
      <c r="F49" s="52"/>
    </row>
    <row r="50" spans="1:6" x14ac:dyDescent="0.35">
      <c r="A50" s="4" t="s">
        <v>2</v>
      </c>
      <c r="B50" s="47"/>
      <c r="C50" s="50"/>
      <c r="D50" s="50"/>
      <c r="E50" s="52"/>
      <c r="F50" s="52"/>
    </row>
    <row r="51" spans="1:6" x14ac:dyDescent="0.35">
      <c r="A51" s="4" t="s">
        <v>3</v>
      </c>
      <c r="B51" s="47"/>
      <c r="C51" s="50"/>
      <c r="D51" s="50"/>
      <c r="E51" s="52"/>
      <c r="F51" s="52"/>
    </row>
    <row r="52" spans="1:6" x14ac:dyDescent="0.35">
      <c r="A52" s="4" t="s">
        <v>4</v>
      </c>
      <c r="B52" s="47"/>
      <c r="C52" s="50"/>
      <c r="D52" s="50"/>
      <c r="E52" s="52"/>
      <c r="F52" s="52"/>
    </row>
    <row r="53" spans="1:6" x14ac:dyDescent="0.35">
      <c r="A53" s="4" t="s">
        <v>5</v>
      </c>
      <c r="B53" s="48"/>
      <c r="C53" s="51"/>
      <c r="D53" s="51"/>
      <c r="E53" s="37"/>
      <c r="F53" s="37"/>
    </row>
  </sheetData>
  <mergeCells count="51">
    <mergeCell ref="N3:N5"/>
    <mergeCell ref="N6:N8"/>
    <mergeCell ref="D39:D44"/>
    <mergeCell ref="E39:E44"/>
    <mergeCell ref="F30:F34"/>
    <mergeCell ref="F12:F13"/>
    <mergeCell ref="F14:F16"/>
    <mergeCell ref="D15:D17"/>
    <mergeCell ref="F3:F4"/>
    <mergeCell ref="F5:F7"/>
    <mergeCell ref="B48:B53"/>
    <mergeCell ref="C48:C53"/>
    <mergeCell ref="F48:F53"/>
    <mergeCell ref="F39:F43"/>
    <mergeCell ref="C39:C41"/>
    <mergeCell ref="C42:C44"/>
    <mergeCell ref="D48:D53"/>
    <mergeCell ref="E48:E53"/>
    <mergeCell ref="B39:B42"/>
    <mergeCell ref="B43:B44"/>
    <mergeCell ref="B32:B35"/>
    <mergeCell ref="E32:E35"/>
    <mergeCell ref="C33:C35"/>
    <mergeCell ref="D30:D32"/>
    <mergeCell ref="D33:D35"/>
    <mergeCell ref="B30:B31"/>
    <mergeCell ref="C30:C32"/>
    <mergeCell ref="E30:E31"/>
    <mergeCell ref="F21:F25"/>
    <mergeCell ref="B23:B26"/>
    <mergeCell ref="E23:E26"/>
    <mergeCell ref="C24:C26"/>
    <mergeCell ref="D21:D24"/>
    <mergeCell ref="D25:D26"/>
    <mergeCell ref="E12:E13"/>
    <mergeCell ref="E14:E17"/>
    <mergeCell ref="B21:B22"/>
    <mergeCell ref="C21:C23"/>
    <mergeCell ref="E21:E22"/>
    <mergeCell ref="B12:B13"/>
    <mergeCell ref="C12:C14"/>
    <mergeCell ref="B14:B17"/>
    <mergeCell ref="C15:C17"/>
    <mergeCell ref="D12:D14"/>
    <mergeCell ref="C3:C5"/>
    <mergeCell ref="E3:E5"/>
    <mergeCell ref="B3:B4"/>
    <mergeCell ref="B5:B8"/>
    <mergeCell ref="C6:C8"/>
    <mergeCell ref="E6:E8"/>
    <mergeCell ref="D3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5C25-8B0C-4D25-91BE-BA452BDCC89A}">
  <sheetPr>
    <pageSetUpPr fitToPage="1"/>
  </sheetPr>
  <dimension ref="B1:I44"/>
  <sheetViews>
    <sheetView showGridLines="0" zoomScale="85" zoomScaleNormal="85" workbookViewId="0">
      <selection activeCell="G44" sqref="B1:G44"/>
    </sheetView>
  </sheetViews>
  <sheetFormatPr defaultColWidth="10.90625" defaultRowHeight="14.5" x14ac:dyDescent="0.35"/>
  <cols>
    <col min="1" max="1" width="2" customWidth="1"/>
    <col min="2" max="2" width="10.90625" style="3"/>
    <col min="3" max="4" width="12.6328125" style="3" customWidth="1"/>
    <col min="5" max="5" width="14.26953125" style="3" customWidth="1"/>
    <col min="6" max="6" width="13.453125" style="3" customWidth="1"/>
    <col min="7" max="7" width="20.7265625" style="3" customWidth="1"/>
    <col min="8" max="8" width="4.36328125" customWidth="1"/>
  </cols>
  <sheetData>
    <row r="1" spans="2:9" x14ac:dyDescent="0.35">
      <c r="B1" s="9" t="s">
        <v>39</v>
      </c>
    </row>
    <row r="2" spans="2:9" x14ac:dyDescent="0.35">
      <c r="B2" s="5"/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</row>
    <row r="3" spans="2:9" x14ac:dyDescent="0.35">
      <c r="B3" s="4" t="s">
        <v>0</v>
      </c>
      <c r="C3" s="32" t="s">
        <v>22</v>
      </c>
      <c r="D3" s="42" t="s">
        <v>32</v>
      </c>
      <c r="E3" s="31" t="s">
        <v>31</v>
      </c>
      <c r="F3" s="42" t="s">
        <v>32</v>
      </c>
      <c r="G3" s="31" t="s">
        <v>31</v>
      </c>
      <c r="I3" s="2"/>
    </row>
    <row r="4" spans="2:9" x14ac:dyDescent="0.35">
      <c r="B4" s="4" t="s">
        <v>1</v>
      </c>
      <c r="C4" s="32"/>
      <c r="D4" s="41"/>
      <c r="E4" s="41"/>
      <c r="F4" s="41"/>
      <c r="G4" s="31"/>
      <c r="I4" s="2"/>
    </row>
    <row r="5" spans="2:9" x14ac:dyDescent="0.35">
      <c r="B5" s="4" t="s">
        <v>2</v>
      </c>
      <c r="C5" s="32"/>
      <c r="D5" s="41"/>
      <c r="E5" s="41"/>
      <c r="F5" s="41"/>
      <c r="G5" s="32" t="s">
        <v>36</v>
      </c>
    </row>
    <row r="6" spans="2:9" x14ac:dyDescent="0.35">
      <c r="B6" s="4" t="s">
        <v>3</v>
      </c>
      <c r="C6" s="31" t="s">
        <v>31</v>
      </c>
      <c r="D6" s="31" t="s">
        <v>31</v>
      </c>
      <c r="E6" s="42" t="s">
        <v>32</v>
      </c>
      <c r="F6" s="31" t="s">
        <v>31</v>
      </c>
      <c r="G6" s="32"/>
    </row>
    <row r="7" spans="2:9" x14ac:dyDescent="0.35">
      <c r="B7" s="4" t="s">
        <v>4</v>
      </c>
      <c r="C7" s="41"/>
      <c r="D7" s="41"/>
      <c r="E7" s="41"/>
      <c r="F7" s="41"/>
      <c r="G7" s="32"/>
    </row>
    <row r="8" spans="2:9" x14ac:dyDescent="0.35">
      <c r="B8" s="4" t="s">
        <v>5</v>
      </c>
      <c r="C8" s="41"/>
      <c r="D8" s="41"/>
      <c r="E8" s="41"/>
      <c r="F8" s="41"/>
      <c r="G8" s="6"/>
    </row>
    <row r="10" spans="2:9" x14ac:dyDescent="0.35">
      <c r="B10" s="9" t="s">
        <v>40</v>
      </c>
    </row>
    <row r="11" spans="2:9" x14ac:dyDescent="0.35">
      <c r="B11" s="5"/>
      <c r="C11" s="4" t="s">
        <v>6</v>
      </c>
      <c r="D11" s="4" t="s">
        <v>7</v>
      </c>
      <c r="E11" s="4" t="s">
        <v>8</v>
      </c>
      <c r="F11" s="4" t="s">
        <v>9</v>
      </c>
      <c r="G11" s="8" t="s">
        <v>10</v>
      </c>
    </row>
    <row r="12" spans="2:9" ht="14.5" customHeight="1" x14ac:dyDescent="0.35">
      <c r="B12" s="4" t="s">
        <v>0</v>
      </c>
      <c r="C12" s="27" t="s">
        <v>32</v>
      </c>
      <c r="D12" s="21" t="s">
        <v>32</v>
      </c>
      <c r="E12" s="40" t="s">
        <v>31</v>
      </c>
      <c r="F12" s="27" t="s">
        <v>32</v>
      </c>
      <c r="G12" s="32" t="s">
        <v>36</v>
      </c>
      <c r="I12" s="2"/>
    </row>
    <row r="13" spans="2:9" x14ac:dyDescent="0.35">
      <c r="B13" s="4" t="s">
        <v>1</v>
      </c>
      <c r="C13" s="28"/>
      <c r="D13" s="15"/>
      <c r="E13" s="43"/>
      <c r="F13" s="28"/>
      <c r="G13" s="32"/>
    </row>
    <row r="14" spans="2:9" x14ac:dyDescent="0.35">
      <c r="B14" s="4" t="s">
        <v>2</v>
      </c>
      <c r="C14" s="40" t="s">
        <v>31</v>
      </c>
      <c r="D14" s="16"/>
      <c r="E14" s="43"/>
      <c r="F14" s="11" t="s">
        <v>33</v>
      </c>
      <c r="G14" s="38" t="s">
        <v>37</v>
      </c>
    </row>
    <row r="15" spans="2:9" x14ac:dyDescent="0.35">
      <c r="B15" s="4" t="s">
        <v>3</v>
      </c>
      <c r="C15" s="15"/>
      <c r="D15" s="40" t="s">
        <v>31</v>
      </c>
      <c r="E15" s="43"/>
      <c r="F15" s="15"/>
      <c r="G15" s="38"/>
    </row>
    <row r="16" spans="2:9" x14ac:dyDescent="0.35">
      <c r="B16" s="4" t="s">
        <v>4</v>
      </c>
      <c r="C16" s="15"/>
      <c r="D16" s="15"/>
      <c r="E16" s="27" t="s">
        <v>32</v>
      </c>
      <c r="F16" s="15"/>
      <c r="G16" s="38"/>
    </row>
    <row r="17" spans="2:9" x14ac:dyDescent="0.35">
      <c r="B17" s="4" t="s">
        <v>5</v>
      </c>
      <c r="C17" s="16"/>
      <c r="D17" s="16"/>
      <c r="E17" s="28"/>
      <c r="F17" s="16"/>
      <c r="G17" s="7"/>
    </row>
    <row r="19" spans="2:9" x14ac:dyDescent="0.35">
      <c r="B19" s="9" t="s">
        <v>41</v>
      </c>
    </row>
    <row r="20" spans="2:9" x14ac:dyDescent="0.35">
      <c r="B20" s="5"/>
      <c r="C20" s="4" t="s">
        <v>6</v>
      </c>
      <c r="D20" s="4" t="s">
        <v>7</v>
      </c>
      <c r="E20" s="4" t="s">
        <v>8</v>
      </c>
      <c r="F20" s="4" t="s">
        <v>9</v>
      </c>
      <c r="G20" s="8" t="s">
        <v>10</v>
      </c>
    </row>
    <row r="21" spans="2:9" x14ac:dyDescent="0.35">
      <c r="B21" s="4" t="s">
        <v>0</v>
      </c>
      <c r="C21" s="17" t="s">
        <v>30</v>
      </c>
      <c r="D21" s="21" t="s">
        <v>32</v>
      </c>
      <c r="E21" s="14" t="s">
        <v>45</v>
      </c>
      <c r="F21" s="27" t="s">
        <v>32</v>
      </c>
      <c r="G21" s="14" t="s">
        <v>22</v>
      </c>
      <c r="I21" s="2"/>
    </row>
    <row r="22" spans="2:9" x14ac:dyDescent="0.35">
      <c r="B22" s="4" t="s">
        <v>1</v>
      </c>
      <c r="C22" s="18"/>
      <c r="D22" s="15"/>
      <c r="E22" s="15"/>
      <c r="F22" s="28"/>
      <c r="G22" s="33"/>
      <c r="I22" s="2"/>
    </row>
    <row r="23" spans="2:9" ht="14.5" customHeight="1" x14ac:dyDescent="0.35">
      <c r="B23" s="4" t="s">
        <v>2</v>
      </c>
      <c r="C23" s="19"/>
      <c r="D23" s="16"/>
      <c r="E23" s="15"/>
      <c r="F23" s="29" t="s">
        <v>33</v>
      </c>
      <c r="G23" s="33"/>
    </row>
    <row r="24" spans="2:9" x14ac:dyDescent="0.35">
      <c r="B24" s="4" t="s">
        <v>3</v>
      </c>
      <c r="C24" s="19"/>
      <c r="D24" s="11" t="s">
        <v>33</v>
      </c>
      <c r="E24" s="15"/>
      <c r="F24" s="30"/>
      <c r="G24" s="33"/>
    </row>
    <row r="25" spans="2:9" x14ac:dyDescent="0.35">
      <c r="B25" s="4" t="s">
        <v>4</v>
      </c>
      <c r="C25" s="19"/>
      <c r="D25" s="12"/>
      <c r="E25" s="15"/>
      <c r="F25" s="30"/>
      <c r="G25" s="34"/>
    </row>
    <row r="26" spans="2:9" x14ac:dyDescent="0.35">
      <c r="B26" s="4" t="s">
        <v>5</v>
      </c>
      <c r="C26" s="20"/>
      <c r="D26" s="13"/>
      <c r="E26" s="16"/>
      <c r="F26" s="16"/>
      <c r="G26" s="7"/>
    </row>
    <row r="28" spans="2:9" x14ac:dyDescent="0.35">
      <c r="B28" s="9" t="s">
        <v>42</v>
      </c>
    </row>
    <row r="29" spans="2:9" x14ac:dyDescent="0.35">
      <c r="B29" s="5"/>
      <c r="C29" s="4" t="s">
        <v>6</v>
      </c>
      <c r="D29" s="4" t="s">
        <v>7</v>
      </c>
      <c r="E29" s="4" t="s">
        <v>8</v>
      </c>
      <c r="F29" s="4" t="s">
        <v>9</v>
      </c>
      <c r="G29" s="8" t="s">
        <v>10</v>
      </c>
    </row>
    <row r="30" spans="2:9" ht="14.5" customHeight="1" x14ac:dyDescent="0.35">
      <c r="B30" s="4" t="s">
        <v>0</v>
      </c>
      <c r="C30" s="21" t="s">
        <v>32</v>
      </c>
      <c r="D30" s="21" t="s">
        <v>32</v>
      </c>
      <c r="E30" s="11" t="s">
        <v>33</v>
      </c>
      <c r="F30" s="27" t="s">
        <v>32</v>
      </c>
      <c r="G30" s="14" t="s">
        <v>36</v>
      </c>
      <c r="I30" s="2"/>
    </row>
    <row r="31" spans="2:9" x14ac:dyDescent="0.35">
      <c r="B31" s="4" t="s">
        <v>1</v>
      </c>
      <c r="C31" s="25"/>
      <c r="D31" s="26"/>
      <c r="E31" s="13"/>
      <c r="F31" s="28"/>
      <c r="G31" s="33"/>
    </row>
    <row r="32" spans="2:9" ht="14.5" customHeight="1" x14ac:dyDescent="0.35">
      <c r="B32" s="4" t="s">
        <v>2</v>
      </c>
      <c r="C32" s="11" t="s">
        <v>33</v>
      </c>
      <c r="D32" s="25"/>
      <c r="E32" s="14" t="s">
        <v>22</v>
      </c>
      <c r="F32" s="35" t="s">
        <v>34</v>
      </c>
      <c r="G32" s="33"/>
    </row>
    <row r="33" spans="2:9" x14ac:dyDescent="0.35">
      <c r="B33" s="4" t="s">
        <v>3</v>
      </c>
      <c r="C33" s="12"/>
      <c r="D33" s="11" t="s">
        <v>33</v>
      </c>
      <c r="E33" s="22"/>
      <c r="F33" s="36"/>
      <c r="G33" s="33"/>
    </row>
    <row r="34" spans="2:9" x14ac:dyDescent="0.35">
      <c r="B34" s="4" t="s">
        <v>4</v>
      </c>
      <c r="C34" s="12"/>
      <c r="D34" s="12"/>
      <c r="E34" s="22"/>
      <c r="F34" s="36"/>
      <c r="G34" s="34"/>
    </row>
    <row r="35" spans="2:9" x14ac:dyDescent="0.35">
      <c r="B35" s="4" t="s">
        <v>5</v>
      </c>
      <c r="C35" s="13"/>
      <c r="D35" s="13"/>
      <c r="E35" s="23"/>
      <c r="F35" s="37"/>
      <c r="G35" s="7"/>
    </row>
    <row r="37" spans="2:9" x14ac:dyDescent="0.35">
      <c r="B37" s="9" t="s">
        <v>43</v>
      </c>
    </row>
    <row r="38" spans="2:9" x14ac:dyDescent="0.35">
      <c r="B38" s="5"/>
      <c r="C38" s="4" t="s">
        <v>6</v>
      </c>
      <c r="D38" s="4" t="s">
        <v>7</v>
      </c>
      <c r="E38" s="4" t="s">
        <v>8</v>
      </c>
      <c r="F38" s="4" t="s">
        <v>9</v>
      </c>
      <c r="G38" s="8" t="s">
        <v>10</v>
      </c>
    </row>
    <row r="39" spans="2:9" ht="14.5" customHeight="1" x14ac:dyDescent="0.35">
      <c r="B39" s="4" t="s">
        <v>0</v>
      </c>
      <c r="C39" s="44" t="s">
        <v>22</v>
      </c>
      <c r="D39" s="21" t="s">
        <v>32</v>
      </c>
      <c r="E39" s="14" t="s">
        <v>22</v>
      </c>
      <c r="F39" s="39" t="s">
        <v>29</v>
      </c>
      <c r="G39" s="14" t="s">
        <v>35</v>
      </c>
      <c r="I39" s="2"/>
    </row>
    <row r="40" spans="2:9" x14ac:dyDescent="0.35">
      <c r="B40" s="4" t="s">
        <v>1</v>
      </c>
      <c r="C40" s="56"/>
      <c r="D40" s="26"/>
      <c r="E40" s="15"/>
      <c r="F40" s="15"/>
      <c r="G40" s="33"/>
      <c r="I40" s="2"/>
    </row>
    <row r="41" spans="2:9" x14ac:dyDescent="0.35">
      <c r="B41" s="4" t="s">
        <v>2</v>
      </c>
      <c r="C41" s="29" t="s">
        <v>33</v>
      </c>
      <c r="D41" s="25"/>
      <c r="E41" s="15"/>
      <c r="F41" s="15"/>
      <c r="G41" s="33"/>
      <c r="I41" s="2"/>
    </row>
    <row r="42" spans="2:9" x14ac:dyDescent="0.35">
      <c r="B42" s="4" t="s">
        <v>3</v>
      </c>
      <c r="C42" s="30"/>
      <c r="D42" s="11" t="s">
        <v>33</v>
      </c>
      <c r="E42" s="15"/>
      <c r="F42" s="15"/>
      <c r="G42" s="33"/>
    </row>
    <row r="43" spans="2:9" x14ac:dyDescent="0.35">
      <c r="B43" s="4" t="s">
        <v>4</v>
      </c>
      <c r="C43" s="30"/>
      <c r="D43" s="12"/>
      <c r="E43" s="15"/>
      <c r="F43" s="15"/>
      <c r="G43" s="34"/>
    </row>
    <row r="44" spans="2:9" x14ac:dyDescent="0.35">
      <c r="B44" s="4" t="s">
        <v>5</v>
      </c>
      <c r="C44" s="16"/>
      <c r="D44" s="13"/>
      <c r="E44" s="16"/>
      <c r="F44" s="16"/>
      <c r="G44" s="7"/>
    </row>
  </sheetData>
  <mergeCells count="43">
    <mergeCell ref="G39:G43"/>
    <mergeCell ref="C30:C31"/>
    <mergeCell ref="D30:D32"/>
    <mergeCell ref="E30:E31"/>
    <mergeCell ref="F30:F31"/>
    <mergeCell ref="G30:G34"/>
    <mergeCell ref="C32:C35"/>
    <mergeCell ref="E32:E35"/>
    <mergeCell ref="F32:F35"/>
    <mergeCell ref="D33:D35"/>
    <mergeCell ref="D39:D41"/>
    <mergeCell ref="D42:D44"/>
    <mergeCell ref="C39:C40"/>
    <mergeCell ref="C41:C44"/>
    <mergeCell ref="E39:E44"/>
    <mergeCell ref="F39:F44"/>
    <mergeCell ref="C21:C26"/>
    <mergeCell ref="D21:D23"/>
    <mergeCell ref="E21:E26"/>
    <mergeCell ref="F21:F22"/>
    <mergeCell ref="G21:G25"/>
    <mergeCell ref="F23:F26"/>
    <mergeCell ref="D24:D26"/>
    <mergeCell ref="C12:C13"/>
    <mergeCell ref="D12:D14"/>
    <mergeCell ref="E12:E15"/>
    <mergeCell ref="F12:F13"/>
    <mergeCell ref="G12:G13"/>
    <mergeCell ref="C14:C17"/>
    <mergeCell ref="F14:F17"/>
    <mergeCell ref="G14:G16"/>
    <mergeCell ref="D15:D17"/>
    <mergeCell ref="E16:E17"/>
    <mergeCell ref="C3:C5"/>
    <mergeCell ref="D3:D5"/>
    <mergeCell ref="E3:E5"/>
    <mergeCell ref="F3:F5"/>
    <mergeCell ref="G3:G4"/>
    <mergeCell ref="G5:G7"/>
    <mergeCell ref="C6:C8"/>
    <mergeCell ref="D6:D8"/>
    <mergeCell ref="E6:E8"/>
    <mergeCell ref="F6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4198-051C-4816-909A-A01DB9C8A9AE}">
  <sheetPr>
    <pageSetUpPr fitToPage="1"/>
  </sheetPr>
  <dimension ref="A1:F53"/>
  <sheetViews>
    <sheetView showGridLines="0" tabSelected="1" zoomScale="89" zoomScaleNormal="89" workbookViewId="0">
      <selection activeCell="F48" sqref="A1:F53"/>
    </sheetView>
  </sheetViews>
  <sheetFormatPr defaultColWidth="10.90625" defaultRowHeight="14.5" x14ac:dyDescent="0.35"/>
  <cols>
    <col min="1" max="1" width="10.90625" style="3"/>
    <col min="2" max="2" width="12.6328125" style="3" customWidth="1"/>
    <col min="3" max="3" width="15.1796875" style="3" customWidth="1"/>
    <col min="4" max="4" width="17.36328125" style="3" customWidth="1"/>
    <col min="5" max="5" width="13" style="3" customWidth="1"/>
    <col min="6" max="6" width="20.08984375" style="3" customWidth="1"/>
    <col min="7" max="7" width="6.6328125" customWidth="1"/>
  </cols>
  <sheetData>
    <row r="1" spans="1:6" x14ac:dyDescent="0.35">
      <c r="A1" s="9" t="s">
        <v>59</v>
      </c>
    </row>
    <row r="2" spans="1:6" x14ac:dyDescent="0.35">
      <c r="A2" s="5"/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x14ac:dyDescent="0.35">
      <c r="A3" s="4" t="s">
        <v>0</v>
      </c>
      <c r="B3" s="14" t="s">
        <v>22</v>
      </c>
      <c r="C3" s="42" t="s">
        <v>32</v>
      </c>
      <c r="D3" s="14" t="s">
        <v>22</v>
      </c>
      <c r="E3" s="42" t="s">
        <v>32</v>
      </c>
      <c r="F3" s="31" t="s">
        <v>31</v>
      </c>
    </row>
    <row r="4" spans="1:6" x14ac:dyDescent="0.35">
      <c r="A4" s="4" t="s">
        <v>1</v>
      </c>
      <c r="B4" s="24"/>
      <c r="C4" s="41"/>
      <c r="D4" s="43"/>
      <c r="E4" s="41"/>
      <c r="F4" s="31"/>
    </row>
    <row r="5" spans="1:6" ht="14.5" customHeight="1" x14ac:dyDescent="0.35">
      <c r="A5" s="4" t="s">
        <v>2</v>
      </c>
      <c r="B5" s="40" t="s">
        <v>31</v>
      </c>
      <c r="C5" s="41"/>
      <c r="D5" s="43"/>
      <c r="E5" s="41"/>
      <c r="F5" s="14" t="s">
        <v>22</v>
      </c>
    </row>
    <row r="6" spans="1:6" x14ac:dyDescent="0.35">
      <c r="A6" s="4" t="s">
        <v>3</v>
      </c>
      <c r="B6" s="43"/>
      <c r="C6" s="31" t="s">
        <v>31</v>
      </c>
      <c r="D6" s="43"/>
      <c r="E6" s="31" t="s">
        <v>31</v>
      </c>
      <c r="F6" s="43"/>
    </row>
    <row r="7" spans="1:6" x14ac:dyDescent="0.35">
      <c r="A7" s="4" t="s">
        <v>4</v>
      </c>
      <c r="B7" s="43"/>
      <c r="C7" s="41"/>
      <c r="D7" s="24"/>
      <c r="E7" s="41"/>
      <c r="F7" s="24"/>
    </row>
    <row r="8" spans="1:6" ht="19.5" customHeight="1" x14ac:dyDescent="0.35">
      <c r="A8" s="4" t="s">
        <v>5</v>
      </c>
      <c r="B8" s="24"/>
      <c r="C8" s="41"/>
      <c r="D8" s="10" t="s">
        <v>31</v>
      </c>
      <c r="E8" s="41"/>
      <c r="F8" s="6"/>
    </row>
    <row r="10" spans="1:6" x14ac:dyDescent="0.35">
      <c r="A10" s="9" t="s">
        <v>60</v>
      </c>
    </row>
    <row r="11" spans="1:6" x14ac:dyDescent="0.35">
      <c r="A11" s="5"/>
      <c r="B11" s="4" t="s">
        <v>6</v>
      </c>
      <c r="C11" s="4" t="s">
        <v>7</v>
      </c>
      <c r="D11" s="4" t="s">
        <v>8</v>
      </c>
      <c r="E11" s="4" t="s">
        <v>9</v>
      </c>
      <c r="F11" s="8" t="s">
        <v>10</v>
      </c>
    </row>
    <row r="12" spans="1:6" ht="14.5" customHeight="1" x14ac:dyDescent="0.35">
      <c r="A12" s="4" t="s">
        <v>0</v>
      </c>
      <c r="B12" s="27" t="s">
        <v>32</v>
      </c>
      <c r="C12" s="21" t="s">
        <v>32</v>
      </c>
      <c r="D12" s="31" t="s">
        <v>31</v>
      </c>
      <c r="E12" s="27" t="s">
        <v>32</v>
      </c>
      <c r="F12" s="32" t="s">
        <v>36</v>
      </c>
    </row>
    <row r="13" spans="1:6" x14ac:dyDescent="0.35">
      <c r="A13" s="4" t="s">
        <v>1</v>
      </c>
      <c r="B13" s="28"/>
      <c r="C13" s="15"/>
      <c r="D13" s="41"/>
      <c r="E13" s="28"/>
      <c r="F13" s="32"/>
    </row>
    <row r="14" spans="1:6" x14ac:dyDescent="0.35">
      <c r="A14" s="4" t="s">
        <v>2</v>
      </c>
      <c r="B14" s="40" t="s">
        <v>31</v>
      </c>
      <c r="C14" s="16"/>
      <c r="D14" s="41"/>
      <c r="E14" s="40" t="s">
        <v>31</v>
      </c>
      <c r="F14" s="31" t="s">
        <v>37</v>
      </c>
    </row>
    <row r="15" spans="1:6" x14ac:dyDescent="0.35">
      <c r="A15" s="4" t="s">
        <v>3</v>
      </c>
      <c r="B15" s="15"/>
      <c r="C15" s="40" t="s">
        <v>31</v>
      </c>
      <c r="D15" s="32" t="s">
        <v>22</v>
      </c>
      <c r="E15" s="15"/>
      <c r="F15" s="31"/>
    </row>
    <row r="16" spans="1:6" x14ac:dyDescent="0.35">
      <c r="A16" s="4" t="s">
        <v>4</v>
      </c>
      <c r="B16" s="15"/>
      <c r="C16" s="15"/>
      <c r="D16" s="32"/>
      <c r="E16" s="15"/>
      <c r="F16" s="31"/>
    </row>
    <row r="17" spans="1:6" x14ac:dyDescent="0.35">
      <c r="A17" s="4" t="s">
        <v>5</v>
      </c>
      <c r="B17" s="16"/>
      <c r="C17" s="16"/>
      <c r="D17" s="32"/>
      <c r="E17" s="16"/>
      <c r="F17" s="7"/>
    </row>
    <row r="19" spans="1:6" x14ac:dyDescent="0.35">
      <c r="A19" s="9" t="s">
        <v>61</v>
      </c>
    </row>
    <row r="20" spans="1:6" x14ac:dyDescent="0.35">
      <c r="A20" s="5"/>
      <c r="B20" s="4" t="s">
        <v>6</v>
      </c>
      <c r="C20" s="4" t="s">
        <v>7</v>
      </c>
      <c r="D20" s="4" t="s">
        <v>8</v>
      </c>
      <c r="E20" s="4" t="s">
        <v>9</v>
      </c>
      <c r="F20" s="8" t="s">
        <v>10</v>
      </c>
    </row>
    <row r="21" spans="1:6" ht="14.5" customHeight="1" x14ac:dyDescent="0.35">
      <c r="A21" s="4" t="s">
        <v>0</v>
      </c>
      <c r="B21" s="27" t="s">
        <v>32</v>
      </c>
      <c r="C21" s="21" t="s">
        <v>32</v>
      </c>
      <c r="D21" s="14" t="s">
        <v>22</v>
      </c>
      <c r="E21" s="27" t="s">
        <v>32</v>
      </c>
      <c r="F21" s="14" t="s">
        <v>68</v>
      </c>
    </row>
    <row r="22" spans="1:6" x14ac:dyDescent="0.35">
      <c r="A22" s="4" t="s">
        <v>1</v>
      </c>
      <c r="B22" s="28"/>
      <c r="C22" s="15"/>
      <c r="D22" s="43"/>
      <c r="E22" s="28"/>
      <c r="F22" s="33"/>
    </row>
    <row r="23" spans="1:6" ht="14.5" customHeight="1" x14ac:dyDescent="0.35">
      <c r="A23" s="4" t="s">
        <v>2</v>
      </c>
      <c r="B23" s="11" t="s">
        <v>33</v>
      </c>
      <c r="C23" s="16"/>
      <c r="D23" s="43"/>
      <c r="E23" s="29" t="s">
        <v>33</v>
      </c>
      <c r="F23" s="33"/>
    </row>
    <row r="24" spans="1:6" x14ac:dyDescent="0.35">
      <c r="A24" s="4" t="s">
        <v>3</v>
      </c>
      <c r="B24" s="15"/>
      <c r="C24" s="11" t="s">
        <v>33</v>
      </c>
      <c r="D24" s="24"/>
      <c r="E24" s="30"/>
      <c r="F24" s="33"/>
    </row>
    <row r="25" spans="1:6" x14ac:dyDescent="0.35">
      <c r="A25" s="4" t="s">
        <v>4</v>
      </c>
      <c r="B25" s="15"/>
      <c r="C25" s="12"/>
      <c r="D25" s="27" t="s">
        <v>32</v>
      </c>
      <c r="E25" s="30"/>
      <c r="F25" s="34"/>
    </row>
    <row r="26" spans="1:6" x14ac:dyDescent="0.35">
      <c r="A26" s="4" t="s">
        <v>5</v>
      </c>
      <c r="B26" s="16"/>
      <c r="C26" s="13"/>
      <c r="D26" s="28"/>
      <c r="E26" s="16"/>
      <c r="F26" s="7"/>
    </row>
    <row r="28" spans="1:6" x14ac:dyDescent="0.35">
      <c r="A28" s="9" t="s">
        <v>62</v>
      </c>
    </row>
    <row r="29" spans="1:6" x14ac:dyDescent="0.35">
      <c r="A29" s="5"/>
      <c r="B29" s="4" t="s">
        <v>6</v>
      </c>
      <c r="C29" s="4" t="s">
        <v>7</v>
      </c>
      <c r="D29" s="4" t="s">
        <v>8</v>
      </c>
      <c r="E29" s="4" t="s">
        <v>9</v>
      </c>
      <c r="F29" s="8" t="s">
        <v>10</v>
      </c>
    </row>
    <row r="30" spans="1:6" ht="14.5" customHeight="1" x14ac:dyDescent="0.35">
      <c r="A30" s="4" t="s">
        <v>0</v>
      </c>
      <c r="B30" s="21" t="s">
        <v>32</v>
      </c>
      <c r="C30" s="21" t="s">
        <v>32</v>
      </c>
      <c r="D30" s="11" t="s">
        <v>33</v>
      </c>
      <c r="E30" s="27" t="s">
        <v>32</v>
      </c>
      <c r="F30" s="14" t="s">
        <v>36</v>
      </c>
    </row>
    <row r="31" spans="1:6" x14ac:dyDescent="0.35">
      <c r="A31" s="4" t="s">
        <v>1</v>
      </c>
      <c r="B31" s="25"/>
      <c r="C31" s="26"/>
      <c r="D31" s="12"/>
      <c r="E31" s="28"/>
      <c r="F31" s="33"/>
    </row>
    <row r="32" spans="1:6" ht="14.5" customHeight="1" x14ac:dyDescent="0.35">
      <c r="A32" s="4" t="s">
        <v>2</v>
      </c>
      <c r="B32" s="11" t="s">
        <v>33</v>
      </c>
      <c r="C32" s="25"/>
      <c r="D32" s="24"/>
      <c r="E32" s="44" t="s">
        <v>34</v>
      </c>
      <c r="F32" s="33"/>
    </row>
    <row r="33" spans="1:6" x14ac:dyDescent="0.35">
      <c r="A33" s="4" t="s">
        <v>3</v>
      </c>
      <c r="B33" s="12"/>
      <c r="C33" s="11" t="s">
        <v>33</v>
      </c>
      <c r="D33" s="14" t="s">
        <v>22</v>
      </c>
      <c r="E33" s="45"/>
      <c r="F33" s="33"/>
    </row>
    <row r="34" spans="1:6" x14ac:dyDescent="0.35">
      <c r="A34" s="4" t="s">
        <v>4</v>
      </c>
      <c r="B34" s="12"/>
      <c r="C34" s="12"/>
      <c r="D34" s="43"/>
      <c r="E34" s="45"/>
      <c r="F34" s="34"/>
    </row>
    <row r="35" spans="1:6" x14ac:dyDescent="0.35">
      <c r="A35" s="4" t="s">
        <v>5</v>
      </c>
      <c r="B35" s="13"/>
      <c r="C35" s="13"/>
      <c r="D35" s="24"/>
      <c r="E35" s="23"/>
      <c r="F35" s="7"/>
    </row>
    <row r="37" spans="1:6" x14ac:dyDescent="0.35">
      <c r="A37" s="9" t="s">
        <v>63</v>
      </c>
    </row>
    <row r="38" spans="1:6" x14ac:dyDescent="0.35">
      <c r="A38" s="5"/>
      <c r="B38" s="4" t="s">
        <v>6</v>
      </c>
      <c r="C38" s="4" t="s">
        <v>7</v>
      </c>
      <c r="D38" s="4" t="s">
        <v>8</v>
      </c>
      <c r="E38" s="4" t="s">
        <v>9</v>
      </c>
      <c r="F38" s="8" t="s">
        <v>10</v>
      </c>
    </row>
    <row r="39" spans="1:6" ht="14.5" customHeight="1" x14ac:dyDescent="0.35">
      <c r="A39" s="4" t="s">
        <v>0</v>
      </c>
      <c r="B39" s="11" t="s">
        <v>33</v>
      </c>
      <c r="C39" s="21" t="s">
        <v>32</v>
      </c>
      <c r="D39" s="14" t="s">
        <v>38</v>
      </c>
      <c r="E39" s="46" t="s">
        <v>26</v>
      </c>
      <c r="F39" s="46" t="s">
        <v>26</v>
      </c>
    </row>
    <row r="40" spans="1:6" x14ac:dyDescent="0.35">
      <c r="A40" s="4" t="s">
        <v>1</v>
      </c>
      <c r="B40" s="55"/>
      <c r="C40" s="26"/>
      <c r="D40" s="33"/>
      <c r="E40" s="47"/>
      <c r="F40" s="53"/>
    </row>
    <row r="41" spans="1:6" x14ac:dyDescent="0.35">
      <c r="A41" s="4" t="s">
        <v>2</v>
      </c>
      <c r="B41" s="55"/>
      <c r="C41" s="25"/>
      <c r="D41" s="33"/>
      <c r="E41" s="47"/>
      <c r="F41" s="53"/>
    </row>
    <row r="42" spans="1:6" x14ac:dyDescent="0.35">
      <c r="A42" s="4" t="s">
        <v>3</v>
      </c>
      <c r="B42" s="55"/>
      <c r="C42" s="14" t="s">
        <v>22</v>
      </c>
      <c r="D42" s="33"/>
      <c r="E42" s="47"/>
      <c r="F42" s="53"/>
    </row>
    <row r="43" spans="1:6" x14ac:dyDescent="0.35">
      <c r="A43" s="4" t="s">
        <v>4</v>
      </c>
      <c r="B43" s="44" t="s">
        <v>22</v>
      </c>
      <c r="C43" s="43"/>
      <c r="D43" s="33"/>
      <c r="E43" s="47"/>
      <c r="F43" s="54"/>
    </row>
    <row r="44" spans="1:6" x14ac:dyDescent="0.35">
      <c r="A44" s="4" t="s">
        <v>5</v>
      </c>
      <c r="B44" s="56"/>
      <c r="C44" s="24"/>
      <c r="D44" s="34"/>
      <c r="E44" s="48"/>
      <c r="F44" s="7"/>
    </row>
    <row r="46" spans="1:6" x14ac:dyDescent="0.35">
      <c r="A46" s="9" t="s">
        <v>64</v>
      </c>
    </row>
    <row r="47" spans="1:6" x14ac:dyDescent="0.35">
      <c r="A47" s="5"/>
      <c r="B47" s="4" t="s">
        <v>6</v>
      </c>
      <c r="C47" s="4" t="s">
        <v>7</v>
      </c>
      <c r="D47" s="4" t="s">
        <v>8</v>
      </c>
      <c r="E47" s="4" t="s">
        <v>9</v>
      </c>
      <c r="F47" s="8" t="s">
        <v>10</v>
      </c>
    </row>
    <row r="48" spans="1:6" x14ac:dyDescent="0.35">
      <c r="A48" s="4" t="s">
        <v>0</v>
      </c>
      <c r="B48" s="46" t="s">
        <v>26</v>
      </c>
      <c r="C48" s="49"/>
      <c r="D48" s="49"/>
      <c r="E48" s="49"/>
      <c r="F48" s="49"/>
    </row>
    <row r="49" spans="1:6" x14ac:dyDescent="0.35">
      <c r="A49" s="4" t="s">
        <v>1</v>
      </c>
      <c r="B49" s="47"/>
      <c r="C49" s="50"/>
      <c r="D49" s="50"/>
      <c r="E49" s="52"/>
      <c r="F49" s="52"/>
    </row>
    <row r="50" spans="1:6" x14ac:dyDescent="0.35">
      <c r="A50" s="4" t="s">
        <v>2</v>
      </c>
      <c r="B50" s="47"/>
      <c r="C50" s="50"/>
      <c r="D50" s="50"/>
      <c r="E50" s="52"/>
      <c r="F50" s="52"/>
    </row>
    <row r="51" spans="1:6" x14ac:dyDescent="0.35">
      <c r="A51" s="4" t="s">
        <v>3</v>
      </c>
      <c r="B51" s="47"/>
      <c r="C51" s="50"/>
      <c r="D51" s="50"/>
      <c r="E51" s="52"/>
      <c r="F51" s="52"/>
    </row>
    <row r="52" spans="1:6" x14ac:dyDescent="0.35">
      <c r="A52" s="4" t="s">
        <v>4</v>
      </c>
      <c r="B52" s="47"/>
      <c r="C52" s="50"/>
      <c r="D52" s="50"/>
      <c r="E52" s="52"/>
      <c r="F52" s="52"/>
    </row>
    <row r="53" spans="1:6" x14ac:dyDescent="0.35">
      <c r="A53" s="4" t="s">
        <v>5</v>
      </c>
      <c r="B53" s="48"/>
      <c r="C53" s="51"/>
      <c r="D53" s="51"/>
      <c r="E53" s="37"/>
      <c r="F53" s="37"/>
    </row>
  </sheetData>
  <mergeCells count="49">
    <mergeCell ref="B5:B8"/>
    <mergeCell ref="F5:F7"/>
    <mergeCell ref="C6:C8"/>
    <mergeCell ref="E6:E8"/>
    <mergeCell ref="B3:B4"/>
    <mergeCell ref="C3:C5"/>
    <mergeCell ref="D3:D7"/>
    <mergeCell ref="E3:E5"/>
    <mergeCell ref="F3:F4"/>
    <mergeCell ref="B12:B13"/>
    <mergeCell ref="C12:C14"/>
    <mergeCell ref="D12:D14"/>
    <mergeCell ref="F12:F13"/>
    <mergeCell ref="B14:B17"/>
    <mergeCell ref="F14:F16"/>
    <mergeCell ref="C15:C17"/>
    <mergeCell ref="D15:D17"/>
    <mergeCell ref="E12:E13"/>
    <mergeCell ref="E14:E17"/>
    <mergeCell ref="F21:F25"/>
    <mergeCell ref="B23:B26"/>
    <mergeCell ref="E23:E26"/>
    <mergeCell ref="C24:C26"/>
    <mergeCell ref="D25:D26"/>
    <mergeCell ref="B21:B22"/>
    <mergeCell ref="C21:C23"/>
    <mergeCell ref="D21:D24"/>
    <mergeCell ref="E21:E22"/>
    <mergeCell ref="B30:B31"/>
    <mergeCell ref="C30:C32"/>
    <mergeCell ref="D30:D32"/>
    <mergeCell ref="E30:E31"/>
    <mergeCell ref="F30:F34"/>
    <mergeCell ref="B32:B35"/>
    <mergeCell ref="E32:E35"/>
    <mergeCell ref="C33:C35"/>
    <mergeCell ref="D33:D35"/>
    <mergeCell ref="B39:B42"/>
    <mergeCell ref="C39:C41"/>
    <mergeCell ref="D39:D44"/>
    <mergeCell ref="E39:E44"/>
    <mergeCell ref="F39:F43"/>
    <mergeCell ref="C42:C44"/>
    <mergeCell ref="B43:B44"/>
    <mergeCell ref="B48:B53"/>
    <mergeCell ref="C48:C53"/>
    <mergeCell ref="D48:D53"/>
    <mergeCell ref="E48:E53"/>
    <mergeCell ref="F48:F53"/>
  </mergeCells>
  <pageMargins left="0.25" right="0.25" top="0.75" bottom="0.75" header="0.3" footer="0.3"/>
  <pageSetup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Hoja1</vt:lpstr>
      <vt:lpstr>WAN_201</vt:lpstr>
      <vt:lpstr>WAN_301</vt:lpstr>
      <vt:lpstr>WAN_201_Canvas</vt:lpstr>
      <vt:lpstr>WAN_301_Canvas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</dc:creator>
  <cp:lastModifiedBy>Lizethe Pérez Fuertes</cp:lastModifiedBy>
  <cp:lastPrinted>2025-05-22T21:30:59Z</cp:lastPrinted>
  <dcterms:created xsi:type="dcterms:W3CDTF">2023-01-30T17:32:57Z</dcterms:created>
  <dcterms:modified xsi:type="dcterms:W3CDTF">2025-05-22T21:31:16Z</dcterms:modified>
</cp:coreProperties>
</file>