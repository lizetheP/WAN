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mx-my.sharepoint.com/personal/lperezf_tec_mx/Documents/Documents/GitLiz/WAN/Horarios/"/>
    </mc:Choice>
  </mc:AlternateContent>
  <xr:revisionPtr revIDLastSave="38" documentId="8_{FC23BDE9-CBF9-4CD9-B661-15FDB57BE38E}" xr6:coauthVersionLast="47" xr6:coauthVersionMax="47" xr10:uidLastSave="{B8EFF27F-1D38-4B85-B337-DA811DC210E5}"/>
  <bookViews>
    <workbookView xWindow="28680" yWindow="-120" windowWidth="29040" windowHeight="15720" activeTab="1" xr2:uid="{85581F8A-1D8C-4874-8F74-82FACFEFF46D}"/>
  </bookViews>
  <sheets>
    <sheet name="WAN_201" sheetId="5" r:id="rId1"/>
    <sheet name="WAN_202" sheetId="7" r:id="rId2"/>
    <sheet name="WAN_301" sheetId="8" r:id="rId3"/>
    <sheet name="WAN_201_Completo" sheetId="9" r:id="rId4"/>
    <sheet name="WAN_202_COMPLETO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3" i="10" l="1"/>
  <c r="K50" i="10"/>
  <c r="K49" i="10"/>
  <c r="K47" i="10"/>
  <c r="K46" i="10"/>
  <c r="N41" i="10"/>
  <c r="N43" i="10" s="1"/>
  <c r="M41" i="10"/>
  <c r="K39" i="10"/>
  <c r="K31" i="10"/>
  <c r="K30" i="10"/>
  <c r="K22" i="10"/>
  <c r="K21" i="10"/>
  <c r="K51" i="10" s="1"/>
  <c r="K14" i="10"/>
  <c r="K52" i="10" s="1"/>
  <c r="K12" i="10"/>
  <c r="K5" i="10"/>
  <c r="K4" i="10"/>
  <c r="K3" i="10"/>
  <c r="M3" i="10" s="1"/>
  <c r="M43" i="10" s="1"/>
  <c r="K53" i="9"/>
  <c r="K51" i="9"/>
  <c r="K50" i="9"/>
  <c r="K49" i="9"/>
  <c r="K47" i="9"/>
  <c r="K46" i="9"/>
  <c r="N43" i="9"/>
  <c r="K43" i="9"/>
  <c r="N41" i="9"/>
  <c r="K39" i="9"/>
  <c r="K31" i="9"/>
  <c r="K30" i="9"/>
  <c r="K22" i="9"/>
  <c r="K21" i="9"/>
  <c r="K14" i="9"/>
  <c r="K12" i="9"/>
  <c r="K5" i="9"/>
  <c r="K4" i="9"/>
  <c r="K52" i="9" s="1"/>
  <c r="K54" i="9" s="1"/>
  <c r="K3" i="9"/>
  <c r="M3" i="9" s="1"/>
  <c r="M43" i="9" s="1"/>
  <c r="K51" i="8"/>
  <c r="K52" i="8"/>
  <c r="K53" i="8"/>
  <c r="K50" i="8"/>
  <c r="N43" i="8"/>
  <c r="K43" i="8"/>
  <c r="K21" i="8"/>
  <c r="K31" i="8"/>
  <c r="K30" i="8"/>
  <c r="K22" i="8"/>
  <c r="K47" i="8"/>
  <c r="K46" i="8"/>
  <c r="K14" i="8"/>
  <c r="K12" i="8"/>
  <c r="K5" i="8"/>
  <c r="K4" i="8"/>
  <c r="K3" i="8"/>
  <c r="K54" i="10" l="1"/>
  <c r="K43" i="10"/>
  <c r="M3" i="8"/>
  <c r="M43" i="8" s="1"/>
  <c r="K54" i="8" l="1"/>
</calcChain>
</file>

<file path=xl/sharedStrings.xml><?xml version="1.0" encoding="utf-8"?>
<sst xmlns="http://schemas.openxmlformats.org/spreadsheetml/2006/main" count="622" uniqueCount="64">
  <si>
    <t>3:00 - 4:00</t>
  </si>
  <si>
    <t>4:00 - 5:00</t>
  </si>
  <si>
    <t>5:00 - 5:30</t>
  </si>
  <si>
    <t>5:30 - 6:00</t>
  </si>
  <si>
    <t>6:00 - 7:00</t>
  </si>
  <si>
    <t>7:00 - 8:00</t>
  </si>
  <si>
    <t>LUNES</t>
  </si>
  <si>
    <t>MARTES</t>
  </si>
  <si>
    <t>MIÉRCOLES</t>
  </si>
  <si>
    <t>JUEVES</t>
  </si>
  <si>
    <t>VIERNES</t>
  </si>
  <si>
    <t>Módulo 1</t>
  </si>
  <si>
    <t>Módulo 3</t>
  </si>
  <si>
    <t>RETO</t>
  </si>
  <si>
    <t>Módulo 2</t>
  </si>
  <si>
    <t>Reto</t>
  </si>
  <si>
    <t>ASUETO</t>
  </si>
  <si>
    <t>CENEVAL</t>
  </si>
  <si>
    <t>MÓDULO 1</t>
  </si>
  <si>
    <t>MÓDULO 3</t>
  </si>
  <si>
    <t>MÓDULO 2</t>
  </si>
  <si>
    <t>EXAMEN INTEGRADOR (EVIDENCIA 1)</t>
  </si>
  <si>
    <t>AVANCE DEL RETO / RETROALIMENTACIÓN</t>
  </si>
  <si>
    <t>EXAMEN MÓDULO 1</t>
  </si>
  <si>
    <t>Liz</t>
  </si>
  <si>
    <r>
      <t>SEMANA 1</t>
    </r>
    <r>
      <rPr>
        <sz val="11"/>
        <color theme="1"/>
        <rFont val="Calibri"/>
        <family val="2"/>
        <scheme val="minor"/>
      </rPr>
      <t xml:space="preserve"> (23 - 27 de Marzo)</t>
    </r>
  </si>
  <si>
    <r>
      <t>SEMANA 2</t>
    </r>
    <r>
      <rPr>
        <sz val="11"/>
        <color theme="1"/>
        <rFont val="Calibri"/>
        <family val="2"/>
        <scheme val="minor"/>
      </rPr>
      <t xml:space="preserve"> (6 - 10 de Abril)</t>
    </r>
  </si>
  <si>
    <r>
      <t>SEMANA 3</t>
    </r>
    <r>
      <rPr>
        <sz val="11"/>
        <color theme="1"/>
        <rFont val="Calibri"/>
        <family val="2"/>
        <scheme val="minor"/>
      </rPr>
      <t xml:space="preserve"> (13 - 17 de Abril)</t>
    </r>
  </si>
  <si>
    <r>
      <t>SEMANA 4</t>
    </r>
    <r>
      <rPr>
        <sz val="11"/>
        <color theme="1"/>
        <rFont val="Calibri"/>
        <family val="2"/>
        <scheme val="minor"/>
      </rPr>
      <t xml:space="preserve"> (20 - 24 de Abril)</t>
    </r>
  </si>
  <si>
    <r>
      <t>SEMANA 5</t>
    </r>
    <r>
      <rPr>
        <sz val="11"/>
        <color theme="1"/>
        <rFont val="Calibri"/>
        <family val="2"/>
        <scheme val="minor"/>
      </rPr>
      <t xml:space="preserve"> (27 - 30 de Abril)</t>
    </r>
  </si>
  <si>
    <t>Reto Liz</t>
  </si>
  <si>
    <t>Reto Oscar</t>
  </si>
  <si>
    <t>PRESENTACIÓN DE LA PROPUESTA DE SOLUCIÓN AL RETO / EVALUACIÓN DEL RETO
 (EVIDENCIA 2)</t>
  </si>
  <si>
    <t>Oscar</t>
  </si>
  <si>
    <t>9:00 - 10:00</t>
  </si>
  <si>
    <t>10:00 - 11:00</t>
  </si>
  <si>
    <t>11:00 - 11:30</t>
  </si>
  <si>
    <t>11:30 - 12:00</t>
  </si>
  <si>
    <t>12:00 - 1:00</t>
  </si>
  <si>
    <t>1:00 - 2:00</t>
  </si>
  <si>
    <t>Miércoles (9:00 - 11:30) | Viernes (9:00 - 11:00)</t>
  </si>
  <si>
    <t>Viernes (9:00 - 11:00)</t>
  </si>
  <si>
    <t>Lunes (9:00 - 11:30)</t>
  </si>
  <si>
    <t>Lunes (3:00 - 5:30)</t>
  </si>
  <si>
    <t>Miércoles (3:00 - 5:30) | Viernes (3:00 - 5:00)</t>
  </si>
  <si>
    <t>Viernes (3:00 - 5:00)</t>
  </si>
  <si>
    <t>Miércoles (3:00 - 5:30) | Jueves (3:00 - 8:00)</t>
  </si>
  <si>
    <t>Miércoles (9:00 - 11:30) | Jueves (9:00 - 2:00)</t>
  </si>
  <si>
    <t xml:space="preserve">Horas reto: </t>
  </si>
  <si>
    <t xml:space="preserve">Módulo 1: </t>
  </si>
  <si>
    <t xml:space="preserve">Módulo 2: </t>
  </si>
  <si>
    <t xml:space="preserve">Módulo 3: </t>
  </si>
  <si>
    <r>
      <t>SEMANA 1</t>
    </r>
    <r>
      <rPr>
        <sz val="11"/>
        <color theme="1"/>
        <rFont val="Calibri"/>
        <family val="2"/>
        <scheme val="minor"/>
      </rPr>
      <t xml:space="preserve"> (11 - 15 de Mayo)</t>
    </r>
  </si>
  <si>
    <r>
      <t>SEMANA 2</t>
    </r>
    <r>
      <rPr>
        <sz val="11"/>
        <color theme="1"/>
        <rFont val="Calibri"/>
        <family val="2"/>
        <scheme val="minor"/>
      </rPr>
      <t xml:space="preserve"> (18 - 22 de Mayo)</t>
    </r>
  </si>
  <si>
    <r>
      <t>SEMANA 3</t>
    </r>
    <r>
      <rPr>
        <sz val="11"/>
        <color theme="1"/>
        <rFont val="Calibri"/>
        <family val="2"/>
        <scheme val="minor"/>
      </rPr>
      <t xml:space="preserve"> (25 - 29 de Mayo)</t>
    </r>
  </si>
  <si>
    <r>
      <t>SEMANA 4</t>
    </r>
    <r>
      <rPr>
        <sz val="11"/>
        <color theme="1"/>
        <rFont val="Calibri"/>
        <family val="2"/>
        <scheme val="minor"/>
      </rPr>
      <t xml:space="preserve"> (1 - 5 de Junio)</t>
    </r>
  </si>
  <si>
    <r>
      <t>SEMANA 5</t>
    </r>
    <r>
      <rPr>
        <sz val="11"/>
        <color theme="1"/>
        <rFont val="Calibri"/>
        <family val="2"/>
        <scheme val="minor"/>
      </rPr>
      <t xml:space="preserve"> (8 - 12 de Junio)</t>
    </r>
  </si>
  <si>
    <t>PRESENTACIÓN DE LA PROPUESTA DE SOLUCIÓN AL RETO / EVALUACIÓN DEL RETO</t>
  </si>
  <si>
    <t>Faby</t>
  </si>
  <si>
    <t>Martes a jueves de 6:00 a 8:00 p.m. y viernes de 5:00 a 7:00 p.m. o en el horario que sea la presentación del reto.</t>
  </si>
  <si>
    <t>Lunes (3:00 - 4:30)</t>
  </si>
  <si>
    <t>PRESENTACIÓN DEL RETO</t>
  </si>
  <si>
    <t>Visita BOHN
                           Módulo 1
Módulo 1</t>
  </si>
  <si>
    <t>Módulo 1                                               
                                 Visita                           
                                 BOHN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</si>
</sst>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gradientFill degree="45">
        <stop position="0">
          <color theme="9" tint="-0.25098422193060094"/>
        </stop>
        <stop position="1">
          <color theme="7" tint="0.80001220740379042"/>
        </stop>
      </gradient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/>
      <diagonal style="thin">
        <color indexed="64"/>
      </diagonal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4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7" borderId="2" xfId="0" applyFont="1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1" fillId="9" borderId="8" xfId="0" applyFont="1" applyFill="1" applyBorder="1" applyAlignment="1">
      <alignment vertical="center" wrapText="1"/>
    </xf>
    <xf numFmtId="0" fontId="0" fillId="9" borderId="9" xfId="0" applyFill="1" applyBorder="1" applyAlignment="1">
      <alignment vertical="center"/>
    </xf>
    <xf numFmtId="0" fontId="0" fillId="9" borderId="10" xfId="0" applyFill="1" applyBorder="1" applyAlignment="1">
      <alignment vertical="center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45C25-8B0C-4D25-91BE-BA452BDCC89A}">
  <sheetPr>
    <pageSetUpPr fitToPage="1"/>
  </sheetPr>
  <dimension ref="B1:G44"/>
  <sheetViews>
    <sheetView showGridLines="0" zoomScaleNormal="100" workbookViewId="0">
      <selection activeCell="G44" sqref="B1:G44"/>
    </sheetView>
  </sheetViews>
  <sheetFormatPr baseColWidth="10" defaultColWidth="10.90625" defaultRowHeight="14.5" x14ac:dyDescent="0.35"/>
  <cols>
    <col min="1" max="1" width="2" customWidth="1"/>
    <col min="2" max="2" width="12.7265625" style="2" customWidth="1"/>
    <col min="3" max="5" width="14.6328125" style="2" customWidth="1"/>
    <col min="6" max="6" width="17.1796875" style="2" customWidth="1"/>
    <col min="7" max="7" width="20.26953125" style="2" customWidth="1"/>
    <col min="8" max="8" width="4.36328125" customWidth="1"/>
  </cols>
  <sheetData>
    <row r="1" spans="2:7" x14ac:dyDescent="0.35">
      <c r="B1" s="8" t="s">
        <v>25</v>
      </c>
    </row>
    <row r="2" spans="2:7" x14ac:dyDescent="0.35">
      <c r="B2" s="4"/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</row>
    <row r="3" spans="2:7" x14ac:dyDescent="0.35">
      <c r="B3" s="3" t="s">
        <v>34</v>
      </c>
      <c r="C3" s="14" t="s">
        <v>13</v>
      </c>
      <c r="D3" s="15" t="s">
        <v>19</v>
      </c>
      <c r="E3" s="17" t="s">
        <v>18</v>
      </c>
      <c r="F3" s="15" t="s">
        <v>19</v>
      </c>
      <c r="G3" s="51" t="s">
        <v>62</v>
      </c>
    </row>
    <row r="4" spans="2:7" x14ac:dyDescent="0.35">
      <c r="B4" s="3" t="s">
        <v>35</v>
      </c>
      <c r="C4" s="14"/>
      <c r="D4" s="16"/>
      <c r="E4" s="16"/>
      <c r="F4" s="16"/>
      <c r="G4" s="52"/>
    </row>
    <row r="5" spans="2:7" x14ac:dyDescent="0.35">
      <c r="B5" s="3" t="s">
        <v>36</v>
      </c>
      <c r="C5" s="14"/>
      <c r="D5" s="16"/>
      <c r="E5" s="16"/>
      <c r="F5" s="16"/>
      <c r="G5" s="51" t="s">
        <v>63</v>
      </c>
    </row>
    <row r="6" spans="2:7" x14ac:dyDescent="0.35">
      <c r="B6" s="3" t="s">
        <v>37</v>
      </c>
      <c r="C6" s="17" t="s">
        <v>18</v>
      </c>
      <c r="D6" s="17" t="s">
        <v>18</v>
      </c>
      <c r="E6" s="15" t="s">
        <v>19</v>
      </c>
      <c r="F6" s="17" t="s">
        <v>18</v>
      </c>
      <c r="G6" s="53"/>
    </row>
    <row r="7" spans="2:7" x14ac:dyDescent="0.35">
      <c r="B7" s="3" t="s">
        <v>38</v>
      </c>
      <c r="C7" s="16"/>
      <c r="D7" s="16"/>
      <c r="E7" s="16"/>
      <c r="F7" s="16"/>
      <c r="G7" s="52"/>
    </row>
    <row r="8" spans="2:7" x14ac:dyDescent="0.35">
      <c r="B8" s="3" t="s">
        <v>39</v>
      </c>
      <c r="C8" s="16"/>
      <c r="D8" s="16"/>
      <c r="E8" s="16"/>
      <c r="F8" s="16"/>
      <c r="G8" s="5"/>
    </row>
    <row r="10" spans="2:7" x14ac:dyDescent="0.35">
      <c r="B10" s="8" t="s">
        <v>26</v>
      </c>
    </row>
    <row r="11" spans="2:7" x14ac:dyDescent="0.35">
      <c r="B11" s="4"/>
      <c r="C11" s="3" t="s">
        <v>6</v>
      </c>
      <c r="D11" s="3" t="s">
        <v>7</v>
      </c>
      <c r="E11" s="3" t="s">
        <v>8</v>
      </c>
      <c r="F11" s="3" t="s">
        <v>9</v>
      </c>
      <c r="G11" s="7" t="s">
        <v>10</v>
      </c>
    </row>
    <row r="12" spans="2:7" ht="14.5" customHeight="1" x14ac:dyDescent="0.35">
      <c r="B12" s="3" t="s">
        <v>34</v>
      </c>
      <c r="C12" s="19" t="s">
        <v>19</v>
      </c>
      <c r="D12" s="26" t="s">
        <v>19</v>
      </c>
      <c r="E12" s="21" t="s">
        <v>18</v>
      </c>
      <c r="F12" s="19" t="s">
        <v>19</v>
      </c>
      <c r="G12" s="18" t="s">
        <v>22</v>
      </c>
    </row>
    <row r="13" spans="2:7" x14ac:dyDescent="0.35">
      <c r="B13" s="3" t="s">
        <v>35</v>
      </c>
      <c r="C13" s="20"/>
      <c r="D13" s="22"/>
      <c r="E13" s="27"/>
      <c r="F13" s="20"/>
      <c r="G13" s="18"/>
    </row>
    <row r="14" spans="2:7" x14ac:dyDescent="0.35">
      <c r="B14" s="3" t="s">
        <v>36</v>
      </c>
      <c r="C14" s="21" t="s">
        <v>18</v>
      </c>
      <c r="D14" s="23"/>
      <c r="E14" s="27"/>
      <c r="F14" s="24" t="s">
        <v>20</v>
      </c>
      <c r="G14" s="25" t="s">
        <v>23</v>
      </c>
    </row>
    <row r="15" spans="2:7" x14ac:dyDescent="0.35">
      <c r="B15" s="3" t="s">
        <v>37</v>
      </c>
      <c r="C15" s="22"/>
      <c r="D15" s="21" t="s">
        <v>18</v>
      </c>
      <c r="E15" s="27"/>
      <c r="F15" s="22"/>
      <c r="G15" s="25"/>
    </row>
    <row r="16" spans="2:7" x14ac:dyDescent="0.35">
      <c r="B16" s="3" t="s">
        <v>38</v>
      </c>
      <c r="C16" s="22"/>
      <c r="D16" s="22"/>
      <c r="E16" s="19" t="s">
        <v>19</v>
      </c>
      <c r="F16" s="22"/>
      <c r="G16" s="25"/>
    </row>
    <row r="17" spans="2:7" x14ac:dyDescent="0.35">
      <c r="B17" s="3" t="s">
        <v>39</v>
      </c>
      <c r="C17" s="23"/>
      <c r="D17" s="23"/>
      <c r="E17" s="20"/>
      <c r="F17" s="23"/>
      <c r="G17" s="6"/>
    </row>
    <row r="19" spans="2:7" x14ac:dyDescent="0.35">
      <c r="B19" s="8" t="s">
        <v>27</v>
      </c>
    </row>
    <row r="20" spans="2:7" x14ac:dyDescent="0.35">
      <c r="B20" s="4"/>
      <c r="C20" s="3" t="s">
        <v>6</v>
      </c>
      <c r="D20" s="3" t="s">
        <v>7</v>
      </c>
      <c r="E20" s="3" t="s">
        <v>8</v>
      </c>
      <c r="F20" s="3" t="s">
        <v>9</v>
      </c>
      <c r="G20" s="7" t="s">
        <v>10</v>
      </c>
    </row>
    <row r="21" spans="2:7" ht="14.5" customHeight="1" x14ac:dyDescent="0.35">
      <c r="B21" s="3" t="s">
        <v>34</v>
      </c>
      <c r="C21" s="26" t="s">
        <v>19</v>
      </c>
      <c r="D21" s="42" t="s">
        <v>61</v>
      </c>
      <c r="E21" s="28" t="s">
        <v>17</v>
      </c>
      <c r="F21" s="19" t="s">
        <v>19</v>
      </c>
      <c r="G21" s="14" t="s">
        <v>13</v>
      </c>
    </row>
    <row r="22" spans="2:7" x14ac:dyDescent="0.35">
      <c r="B22" s="3" t="s">
        <v>35</v>
      </c>
      <c r="C22" s="22"/>
      <c r="D22" s="42"/>
      <c r="E22" s="29"/>
      <c r="F22" s="20"/>
      <c r="G22" s="14"/>
    </row>
    <row r="23" spans="2:7" ht="14.5" customHeight="1" x14ac:dyDescent="0.35">
      <c r="B23" s="3" t="s">
        <v>36</v>
      </c>
      <c r="C23" s="23"/>
      <c r="D23" s="42"/>
      <c r="E23" s="30"/>
      <c r="F23" s="43" t="s">
        <v>20</v>
      </c>
      <c r="G23" s="18" t="s">
        <v>13</v>
      </c>
    </row>
    <row r="24" spans="2:7" ht="14.5" customHeight="1" x14ac:dyDescent="0.35">
      <c r="B24" s="3" t="s">
        <v>37</v>
      </c>
      <c r="C24" s="24" t="s">
        <v>20</v>
      </c>
      <c r="D24" s="18" t="s">
        <v>61</v>
      </c>
      <c r="E24" s="30"/>
      <c r="F24" s="44"/>
      <c r="G24" s="18"/>
    </row>
    <row r="25" spans="2:7" x14ac:dyDescent="0.35">
      <c r="B25" s="3" t="s">
        <v>38</v>
      </c>
      <c r="C25" s="32"/>
      <c r="D25" s="18"/>
      <c r="E25" s="30"/>
      <c r="F25" s="44"/>
      <c r="G25" s="18"/>
    </row>
    <row r="26" spans="2:7" x14ac:dyDescent="0.35">
      <c r="B26" s="3" t="s">
        <v>39</v>
      </c>
      <c r="C26" s="33"/>
      <c r="D26" s="18"/>
      <c r="E26" s="31"/>
      <c r="F26" s="23"/>
      <c r="G26" s="6"/>
    </row>
    <row r="28" spans="2:7" x14ac:dyDescent="0.35">
      <c r="B28" s="8" t="s">
        <v>28</v>
      </c>
    </row>
    <row r="29" spans="2:7" x14ac:dyDescent="0.35">
      <c r="B29" s="4"/>
      <c r="C29" s="3" t="s">
        <v>6</v>
      </c>
      <c r="D29" s="3" t="s">
        <v>7</v>
      </c>
      <c r="E29" s="3" t="s">
        <v>8</v>
      </c>
      <c r="F29" s="3" t="s">
        <v>9</v>
      </c>
      <c r="G29" s="7" t="s">
        <v>10</v>
      </c>
    </row>
    <row r="30" spans="2:7" ht="14.5" customHeight="1" x14ac:dyDescent="0.35">
      <c r="B30" s="3" t="s">
        <v>34</v>
      </c>
      <c r="C30" s="26" t="s">
        <v>19</v>
      </c>
      <c r="D30" s="26" t="s">
        <v>19</v>
      </c>
      <c r="E30" s="24" t="s">
        <v>20</v>
      </c>
      <c r="F30" s="19" t="s">
        <v>19</v>
      </c>
      <c r="G30" s="14" t="s">
        <v>22</v>
      </c>
    </row>
    <row r="31" spans="2:7" x14ac:dyDescent="0.35">
      <c r="B31" s="3" t="s">
        <v>35</v>
      </c>
      <c r="C31" s="34"/>
      <c r="D31" s="35"/>
      <c r="E31" s="33"/>
      <c r="F31" s="20"/>
      <c r="G31" s="14"/>
    </row>
    <row r="32" spans="2:7" ht="14.5" customHeight="1" x14ac:dyDescent="0.35">
      <c r="B32" s="3" t="s">
        <v>36</v>
      </c>
      <c r="C32" s="24" t="s">
        <v>20</v>
      </c>
      <c r="D32" s="34"/>
      <c r="E32" s="36" t="s">
        <v>13</v>
      </c>
      <c r="F32" s="39" t="s">
        <v>21</v>
      </c>
      <c r="G32" s="18" t="s">
        <v>22</v>
      </c>
    </row>
    <row r="33" spans="2:7" x14ac:dyDescent="0.35">
      <c r="B33" s="3" t="s">
        <v>37</v>
      </c>
      <c r="C33" s="32"/>
      <c r="D33" s="24" t="s">
        <v>20</v>
      </c>
      <c r="E33" s="37"/>
      <c r="F33" s="40"/>
      <c r="G33" s="18"/>
    </row>
    <row r="34" spans="2:7" x14ac:dyDescent="0.35">
      <c r="B34" s="3" t="s">
        <v>38</v>
      </c>
      <c r="C34" s="32"/>
      <c r="D34" s="32"/>
      <c r="E34" s="37"/>
      <c r="F34" s="40"/>
      <c r="G34" s="18"/>
    </row>
    <row r="35" spans="2:7" x14ac:dyDescent="0.35">
      <c r="B35" s="3" t="s">
        <v>39</v>
      </c>
      <c r="C35" s="33"/>
      <c r="D35" s="33"/>
      <c r="E35" s="38"/>
      <c r="F35" s="41"/>
      <c r="G35" s="6"/>
    </row>
    <row r="37" spans="2:7" x14ac:dyDescent="0.35">
      <c r="B37" s="8" t="s">
        <v>29</v>
      </c>
    </row>
    <row r="38" spans="2:7" x14ac:dyDescent="0.35">
      <c r="B38" s="4"/>
      <c r="C38" s="3" t="s">
        <v>6</v>
      </c>
      <c r="D38" s="3" t="s">
        <v>7</v>
      </c>
      <c r="E38" s="3" t="s">
        <v>8</v>
      </c>
      <c r="F38" s="3" t="s">
        <v>9</v>
      </c>
      <c r="G38" s="7" t="s">
        <v>10</v>
      </c>
    </row>
    <row r="39" spans="2:7" ht="14.5" customHeight="1" x14ac:dyDescent="0.35">
      <c r="B39" s="3" t="s">
        <v>34</v>
      </c>
      <c r="C39" s="18" t="s">
        <v>13</v>
      </c>
      <c r="D39" s="42" t="s">
        <v>13</v>
      </c>
      <c r="E39" s="24" t="s">
        <v>20</v>
      </c>
      <c r="F39" s="45" t="s">
        <v>32</v>
      </c>
      <c r="G39" s="48" t="s">
        <v>16</v>
      </c>
    </row>
    <row r="40" spans="2:7" x14ac:dyDescent="0.35">
      <c r="B40" s="3" t="s">
        <v>35</v>
      </c>
      <c r="C40" s="18"/>
      <c r="D40" s="42"/>
      <c r="E40" s="32"/>
      <c r="F40" s="46"/>
      <c r="G40" s="49"/>
    </row>
    <row r="41" spans="2:7" x14ac:dyDescent="0.35">
      <c r="B41" s="3" t="s">
        <v>36</v>
      </c>
      <c r="C41" s="43" t="s">
        <v>20</v>
      </c>
      <c r="D41" s="42"/>
      <c r="E41" s="33"/>
      <c r="F41" s="46"/>
      <c r="G41" s="49"/>
    </row>
    <row r="42" spans="2:7" x14ac:dyDescent="0.35">
      <c r="B42" s="3" t="s">
        <v>37</v>
      </c>
      <c r="C42" s="44"/>
      <c r="D42" s="18" t="s">
        <v>13</v>
      </c>
      <c r="E42" s="26" t="s">
        <v>19</v>
      </c>
      <c r="F42" s="46"/>
      <c r="G42" s="49"/>
    </row>
    <row r="43" spans="2:7" x14ac:dyDescent="0.35">
      <c r="B43" s="3" t="s">
        <v>38</v>
      </c>
      <c r="C43" s="44"/>
      <c r="D43" s="18"/>
      <c r="E43" s="35"/>
      <c r="F43" s="46"/>
      <c r="G43" s="50"/>
    </row>
    <row r="44" spans="2:7" x14ac:dyDescent="0.35">
      <c r="B44" s="3" t="s">
        <v>39</v>
      </c>
      <c r="C44" s="23"/>
      <c r="D44" s="18"/>
      <c r="E44" s="34"/>
      <c r="F44" s="47"/>
      <c r="G44" s="6"/>
    </row>
  </sheetData>
  <mergeCells count="47">
    <mergeCell ref="C21:C23"/>
    <mergeCell ref="C24:C26"/>
    <mergeCell ref="D24:D26"/>
    <mergeCell ref="G3:G4"/>
    <mergeCell ref="G5:G7"/>
    <mergeCell ref="C6:C8"/>
    <mergeCell ref="D6:D8"/>
    <mergeCell ref="E6:E8"/>
    <mergeCell ref="F6:F8"/>
    <mergeCell ref="C3:C5"/>
    <mergeCell ref="D3:D5"/>
    <mergeCell ref="E3:E5"/>
    <mergeCell ref="F3:F5"/>
    <mergeCell ref="C12:C13"/>
    <mergeCell ref="D12:D14"/>
    <mergeCell ref="E12:E15"/>
    <mergeCell ref="F12:F13"/>
    <mergeCell ref="G12:G13"/>
    <mergeCell ref="C14:C17"/>
    <mergeCell ref="F14:F17"/>
    <mergeCell ref="G14:G16"/>
    <mergeCell ref="D15:D17"/>
    <mergeCell ref="E16:E17"/>
    <mergeCell ref="E39:E41"/>
    <mergeCell ref="E42:E44"/>
    <mergeCell ref="G39:G43"/>
    <mergeCell ref="C39:C40"/>
    <mergeCell ref="C41:C44"/>
    <mergeCell ref="F39:F44"/>
    <mergeCell ref="D39:D41"/>
    <mergeCell ref="D42:D44"/>
    <mergeCell ref="G21:G22"/>
    <mergeCell ref="G23:G25"/>
    <mergeCell ref="G30:G31"/>
    <mergeCell ref="G32:G34"/>
    <mergeCell ref="C30:C31"/>
    <mergeCell ref="D30:D32"/>
    <mergeCell ref="E30:E31"/>
    <mergeCell ref="F30:F31"/>
    <mergeCell ref="C32:C35"/>
    <mergeCell ref="E32:E35"/>
    <mergeCell ref="F32:F35"/>
    <mergeCell ref="D33:D35"/>
    <mergeCell ref="D21:D23"/>
    <mergeCell ref="F21:F22"/>
    <mergeCell ref="F23:F26"/>
    <mergeCell ref="E21:E26"/>
  </mergeCells>
  <pageMargins left="0.7" right="0.7" top="0.75" bottom="0.75" header="0.3" footer="0.3"/>
  <pageSetup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37EE8-C1AC-47C6-A4CA-1E3BEFAD4017}">
  <sheetPr>
    <pageSetUpPr fitToPage="1"/>
  </sheetPr>
  <dimension ref="B1:G44"/>
  <sheetViews>
    <sheetView showGridLines="0" tabSelected="1" zoomScaleNormal="100" workbookViewId="0">
      <selection activeCell="G44" sqref="B1:G44"/>
    </sheetView>
  </sheetViews>
  <sheetFormatPr baseColWidth="10" defaultColWidth="10.90625" defaultRowHeight="14.5" x14ac:dyDescent="0.35"/>
  <cols>
    <col min="1" max="1" width="2" customWidth="1"/>
    <col min="2" max="2" width="10.90625" style="2"/>
    <col min="3" max="5" width="14.6328125" style="2" customWidth="1"/>
    <col min="6" max="6" width="17.1796875" style="2" customWidth="1"/>
    <col min="7" max="7" width="20.26953125" style="2" customWidth="1"/>
    <col min="8" max="8" width="4.36328125" customWidth="1"/>
  </cols>
  <sheetData>
    <row r="1" spans="2:7" x14ac:dyDescent="0.35">
      <c r="B1" s="8" t="s">
        <v>25</v>
      </c>
    </row>
    <row r="2" spans="2:7" x14ac:dyDescent="0.35">
      <c r="B2" s="4"/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</row>
    <row r="3" spans="2:7" x14ac:dyDescent="0.35">
      <c r="B3" s="3" t="s">
        <v>0</v>
      </c>
      <c r="C3" s="14" t="s">
        <v>13</v>
      </c>
      <c r="D3" s="15" t="s">
        <v>19</v>
      </c>
      <c r="E3" s="17" t="s">
        <v>18</v>
      </c>
      <c r="F3" s="15" t="s">
        <v>19</v>
      </c>
      <c r="G3" s="17" t="s">
        <v>18</v>
      </c>
    </row>
    <row r="4" spans="2:7" x14ac:dyDescent="0.35">
      <c r="B4" s="3" t="s">
        <v>1</v>
      </c>
      <c r="C4" s="14"/>
      <c r="D4" s="16"/>
      <c r="E4" s="16"/>
      <c r="F4" s="16"/>
      <c r="G4" s="17"/>
    </row>
    <row r="5" spans="2:7" ht="14.5" customHeight="1" x14ac:dyDescent="0.35">
      <c r="B5" s="3" t="s">
        <v>2</v>
      </c>
      <c r="C5" s="14"/>
      <c r="D5" s="16"/>
      <c r="E5" s="16"/>
      <c r="F5" s="16"/>
      <c r="G5" s="18" t="s">
        <v>22</v>
      </c>
    </row>
    <row r="6" spans="2:7" x14ac:dyDescent="0.35">
      <c r="B6" s="3" t="s">
        <v>3</v>
      </c>
      <c r="C6" s="17" t="s">
        <v>18</v>
      </c>
      <c r="D6" s="17" t="s">
        <v>18</v>
      </c>
      <c r="E6" s="15" t="s">
        <v>19</v>
      </c>
      <c r="F6" s="17" t="s">
        <v>18</v>
      </c>
      <c r="G6" s="18"/>
    </row>
    <row r="7" spans="2:7" x14ac:dyDescent="0.35">
      <c r="B7" s="3" t="s">
        <v>4</v>
      </c>
      <c r="C7" s="16"/>
      <c r="D7" s="16"/>
      <c r="E7" s="16"/>
      <c r="F7" s="16"/>
      <c r="G7" s="18"/>
    </row>
    <row r="8" spans="2:7" x14ac:dyDescent="0.35">
      <c r="B8" s="3" t="s">
        <v>5</v>
      </c>
      <c r="C8" s="16"/>
      <c r="D8" s="16"/>
      <c r="E8" s="16"/>
      <c r="F8" s="16"/>
      <c r="G8" s="5"/>
    </row>
    <row r="10" spans="2:7" x14ac:dyDescent="0.35">
      <c r="B10" s="8" t="s">
        <v>26</v>
      </c>
    </row>
    <row r="11" spans="2:7" x14ac:dyDescent="0.35">
      <c r="B11" s="4"/>
      <c r="C11" s="3" t="s">
        <v>6</v>
      </c>
      <c r="D11" s="3" t="s">
        <v>7</v>
      </c>
      <c r="E11" s="3" t="s">
        <v>8</v>
      </c>
      <c r="F11" s="3" t="s">
        <v>9</v>
      </c>
      <c r="G11" s="7" t="s">
        <v>10</v>
      </c>
    </row>
    <row r="12" spans="2:7" ht="14.5" customHeight="1" x14ac:dyDescent="0.35">
      <c r="B12" s="3" t="s">
        <v>0</v>
      </c>
      <c r="C12" s="19" t="s">
        <v>19</v>
      </c>
      <c r="D12" s="26" t="s">
        <v>19</v>
      </c>
      <c r="E12" s="21" t="s">
        <v>18</v>
      </c>
      <c r="F12" s="19" t="s">
        <v>19</v>
      </c>
      <c r="G12" s="18" t="s">
        <v>22</v>
      </c>
    </row>
    <row r="13" spans="2:7" x14ac:dyDescent="0.35">
      <c r="B13" s="3" t="s">
        <v>1</v>
      </c>
      <c r="C13" s="20"/>
      <c r="D13" s="22"/>
      <c r="E13" s="27"/>
      <c r="F13" s="20"/>
      <c r="G13" s="18"/>
    </row>
    <row r="14" spans="2:7" x14ac:dyDescent="0.35">
      <c r="B14" s="3" t="s">
        <v>2</v>
      </c>
      <c r="C14" s="21" t="s">
        <v>18</v>
      </c>
      <c r="D14" s="23"/>
      <c r="E14" s="27"/>
      <c r="F14" s="24" t="s">
        <v>20</v>
      </c>
      <c r="G14" s="25" t="s">
        <v>23</v>
      </c>
    </row>
    <row r="15" spans="2:7" x14ac:dyDescent="0.35">
      <c r="B15" s="3" t="s">
        <v>3</v>
      </c>
      <c r="C15" s="22"/>
      <c r="D15" s="21" t="s">
        <v>18</v>
      </c>
      <c r="E15" s="27"/>
      <c r="F15" s="22"/>
      <c r="G15" s="25"/>
    </row>
    <row r="16" spans="2:7" x14ac:dyDescent="0.35">
      <c r="B16" s="3" t="s">
        <v>4</v>
      </c>
      <c r="C16" s="22"/>
      <c r="D16" s="22"/>
      <c r="E16" s="19" t="s">
        <v>19</v>
      </c>
      <c r="F16" s="22"/>
      <c r="G16" s="25"/>
    </row>
    <row r="17" spans="2:7" x14ac:dyDescent="0.35">
      <c r="B17" s="3" t="s">
        <v>5</v>
      </c>
      <c r="C17" s="23"/>
      <c r="D17" s="23"/>
      <c r="E17" s="20"/>
      <c r="F17" s="23"/>
      <c r="G17" s="6"/>
    </row>
    <row r="19" spans="2:7" x14ac:dyDescent="0.35">
      <c r="B19" s="8" t="s">
        <v>27</v>
      </c>
    </row>
    <row r="20" spans="2:7" x14ac:dyDescent="0.35">
      <c r="B20" s="4"/>
      <c r="C20" s="3" t="s">
        <v>6</v>
      </c>
      <c r="D20" s="3" t="s">
        <v>7</v>
      </c>
      <c r="E20" s="3" t="s">
        <v>8</v>
      </c>
      <c r="F20" s="3" t="s">
        <v>9</v>
      </c>
      <c r="G20" s="7" t="s">
        <v>10</v>
      </c>
    </row>
    <row r="21" spans="2:7" ht="14.5" customHeight="1" x14ac:dyDescent="0.35">
      <c r="B21" s="3" t="s">
        <v>0</v>
      </c>
      <c r="C21" s="26" t="s">
        <v>19</v>
      </c>
      <c r="D21" s="42" t="s">
        <v>61</v>
      </c>
      <c r="E21" s="28" t="s">
        <v>17</v>
      </c>
      <c r="F21" s="19" t="s">
        <v>19</v>
      </c>
      <c r="G21" s="14" t="s">
        <v>13</v>
      </c>
    </row>
    <row r="22" spans="2:7" x14ac:dyDescent="0.35">
      <c r="B22" s="3" t="s">
        <v>1</v>
      </c>
      <c r="C22" s="22"/>
      <c r="D22" s="42"/>
      <c r="E22" s="29"/>
      <c r="F22" s="20"/>
      <c r="G22" s="14"/>
    </row>
    <row r="23" spans="2:7" ht="14.5" customHeight="1" x14ac:dyDescent="0.35">
      <c r="B23" s="3" t="s">
        <v>2</v>
      </c>
      <c r="C23" s="23"/>
      <c r="D23" s="42"/>
      <c r="E23" s="30"/>
      <c r="F23" s="43" t="s">
        <v>20</v>
      </c>
      <c r="G23" s="18" t="s">
        <v>13</v>
      </c>
    </row>
    <row r="24" spans="2:7" ht="14.5" customHeight="1" x14ac:dyDescent="0.35">
      <c r="B24" s="3" t="s">
        <v>3</v>
      </c>
      <c r="C24" s="24" t="s">
        <v>20</v>
      </c>
      <c r="D24" s="18" t="s">
        <v>61</v>
      </c>
      <c r="E24" s="30"/>
      <c r="F24" s="44"/>
      <c r="G24" s="18"/>
    </row>
    <row r="25" spans="2:7" x14ac:dyDescent="0.35">
      <c r="B25" s="3" t="s">
        <v>4</v>
      </c>
      <c r="C25" s="32"/>
      <c r="D25" s="18"/>
      <c r="E25" s="30"/>
      <c r="F25" s="44"/>
      <c r="G25" s="18"/>
    </row>
    <row r="26" spans="2:7" x14ac:dyDescent="0.35">
      <c r="B26" s="3" t="s">
        <v>5</v>
      </c>
      <c r="C26" s="33"/>
      <c r="D26" s="18"/>
      <c r="E26" s="31"/>
      <c r="F26" s="23"/>
      <c r="G26" s="6"/>
    </row>
    <row r="28" spans="2:7" x14ac:dyDescent="0.35">
      <c r="B28" s="8" t="s">
        <v>28</v>
      </c>
    </row>
    <row r="29" spans="2:7" x14ac:dyDescent="0.35">
      <c r="B29" s="4"/>
      <c r="C29" s="3" t="s">
        <v>6</v>
      </c>
      <c r="D29" s="3" t="s">
        <v>7</v>
      </c>
      <c r="E29" s="3" t="s">
        <v>8</v>
      </c>
      <c r="F29" s="3" t="s">
        <v>9</v>
      </c>
      <c r="G29" s="7" t="s">
        <v>10</v>
      </c>
    </row>
    <row r="30" spans="2:7" ht="14.5" customHeight="1" x14ac:dyDescent="0.35">
      <c r="B30" s="3" t="s">
        <v>0</v>
      </c>
      <c r="C30" s="26" t="s">
        <v>19</v>
      </c>
      <c r="D30" s="26" t="s">
        <v>19</v>
      </c>
      <c r="E30" s="24" t="s">
        <v>20</v>
      </c>
      <c r="F30" s="19" t="s">
        <v>19</v>
      </c>
      <c r="G30" s="14" t="s">
        <v>22</v>
      </c>
    </row>
    <row r="31" spans="2:7" x14ac:dyDescent="0.35">
      <c r="B31" s="3" t="s">
        <v>1</v>
      </c>
      <c r="C31" s="34"/>
      <c r="D31" s="35"/>
      <c r="E31" s="33"/>
      <c r="F31" s="20"/>
      <c r="G31" s="14"/>
    </row>
    <row r="32" spans="2:7" ht="14.5" customHeight="1" x14ac:dyDescent="0.35">
      <c r="B32" s="3" t="s">
        <v>2</v>
      </c>
      <c r="C32" s="24" t="s">
        <v>20</v>
      </c>
      <c r="D32" s="34"/>
      <c r="E32" s="36" t="s">
        <v>13</v>
      </c>
      <c r="F32" s="39" t="s">
        <v>21</v>
      </c>
      <c r="G32" s="18" t="s">
        <v>22</v>
      </c>
    </row>
    <row r="33" spans="2:7" x14ac:dyDescent="0.35">
      <c r="B33" s="3" t="s">
        <v>3</v>
      </c>
      <c r="C33" s="32"/>
      <c r="D33" s="24" t="s">
        <v>20</v>
      </c>
      <c r="E33" s="37"/>
      <c r="F33" s="40"/>
      <c r="G33" s="18"/>
    </row>
    <row r="34" spans="2:7" x14ac:dyDescent="0.35">
      <c r="B34" s="3" t="s">
        <v>4</v>
      </c>
      <c r="C34" s="32"/>
      <c r="D34" s="32"/>
      <c r="E34" s="37"/>
      <c r="F34" s="40"/>
      <c r="G34" s="18"/>
    </row>
    <row r="35" spans="2:7" x14ac:dyDescent="0.35">
      <c r="B35" s="3" t="s">
        <v>5</v>
      </c>
      <c r="C35" s="33"/>
      <c r="D35" s="33"/>
      <c r="E35" s="38"/>
      <c r="F35" s="41"/>
      <c r="G35" s="6"/>
    </row>
    <row r="37" spans="2:7" x14ac:dyDescent="0.35">
      <c r="B37" s="8" t="s">
        <v>29</v>
      </c>
    </row>
    <row r="38" spans="2:7" x14ac:dyDescent="0.35">
      <c r="B38" s="4"/>
      <c r="C38" s="3" t="s">
        <v>6</v>
      </c>
      <c r="D38" s="3" t="s">
        <v>7</v>
      </c>
      <c r="E38" s="3" t="s">
        <v>8</v>
      </c>
      <c r="F38" s="3" t="s">
        <v>9</v>
      </c>
      <c r="G38" s="7" t="s">
        <v>10</v>
      </c>
    </row>
    <row r="39" spans="2:7" ht="14.5" customHeight="1" x14ac:dyDescent="0.35">
      <c r="B39" s="3" t="s">
        <v>0</v>
      </c>
      <c r="C39" s="18" t="s">
        <v>13</v>
      </c>
      <c r="D39" s="42" t="s">
        <v>13</v>
      </c>
      <c r="E39" s="24" t="s">
        <v>20</v>
      </c>
      <c r="F39" s="45" t="s">
        <v>32</v>
      </c>
      <c r="G39" s="48" t="s">
        <v>16</v>
      </c>
    </row>
    <row r="40" spans="2:7" x14ac:dyDescent="0.35">
      <c r="B40" s="3" t="s">
        <v>1</v>
      </c>
      <c r="C40" s="18"/>
      <c r="D40" s="42"/>
      <c r="E40" s="32"/>
      <c r="F40" s="46"/>
      <c r="G40" s="49"/>
    </row>
    <row r="41" spans="2:7" x14ac:dyDescent="0.35">
      <c r="B41" s="3" t="s">
        <v>2</v>
      </c>
      <c r="C41" s="43" t="s">
        <v>20</v>
      </c>
      <c r="D41" s="42"/>
      <c r="E41" s="33"/>
      <c r="F41" s="46"/>
      <c r="G41" s="49"/>
    </row>
    <row r="42" spans="2:7" x14ac:dyDescent="0.35">
      <c r="B42" s="3" t="s">
        <v>3</v>
      </c>
      <c r="C42" s="44"/>
      <c r="D42" s="18" t="s">
        <v>13</v>
      </c>
      <c r="E42" s="26" t="s">
        <v>19</v>
      </c>
      <c r="F42" s="46"/>
      <c r="G42" s="49"/>
    </row>
    <row r="43" spans="2:7" x14ac:dyDescent="0.35">
      <c r="B43" s="3" t="s">
        <v>4</v>
      </c>
      <c r="C43" s="44"/>
      <c r="D43" s="18"/>
      <c r="E43" s="35"/>
      <c r="F43" s="46"/>
      <c r="G43" s="50"/>
    </row>
    <row r="44" spans="2:7" x14ac:dyDescent="0.35">
      <c r="B44" s="3" t="s">
        <v>5</v>
      </c>
      <c r="C44" s="23"/>
      <c r="D44" s="18"/>
      <c r="E44" s="34"/>
      <c r="F44" s="47"/>
      <c r="G44" s="6"/>
    </row>
  </sheetData>
  <mergeCells count="47">
    <mergeCell ref="C39:C40"/>
    <mergeCell ref="D39:D41"/>
    <mergeCell ref="F39:F44"/>
    <mergeCell ref="G39:G43"/>
    <mergeCell ref="C41:C44"/>
    <mergeCell ref="D42:D44"/>
    <mergeCell ref="E39:E41"/>
    <mergeCell ref="E42:E44"/>
    <mergeCell ref="G30:G31"/>
    <mergeCell ref="G32:G34"/>
    <mergeCell ref="D21:D23"/>
    <mergeCell ref="F21:F22"/>
    <mergeCell ref="F23:F26"/>
    <mergeCell ref="D24:D26"/>
    <mergeCell ref="C30:C31"/>
    <mergeCell ref="D30:D32"/>
    <mergeCell ref="E30:E31"/>
    <mergeCell ref="F30:F31"/>
    <mergeCell ref="C32:C35"/>
    <mergeCell ref="E32:E35"/>
    <mergeCell ref="F32:F35"/>
    <mergeCell ref="D33:D35"/>
    <mergeCell ref="C21:C23"/>
    <mergeCell ref="E21:E26"/>
    <mergeCell ref="C24:C26"/>
    <mergeCell ref="G21:G22"/>
    <mergeCell ref="G23:G25"/>
    <mergeCell ref="F12:F13"/>
    <mergeCell ref="G12:G13"/>
    <mergeCell ref="C14:C17"/>
    <mergeCell ref="F14:F17"/>
    <mergeCell ref="G14:G16"/>
    <mergeCell ref="D15:D17"/>
    <mergeCell ref="E16:E17"/>
    <mergeCell ref="C12:C13"/>
    <mergeCell ref="D12:D14"/>
    <mergeCell ref="E12:E15"/>
    <mergeCell ref="C3:C5"/>
    <mergeCell ref="D3:D5"/>
    <mergeCell ref="E3:E5"/>
    <mergeCell ref="F3:F5"/>
    <mergeCell ref="G3:G4"/>
    <mergeCell ref="G5:G7"/>
    <mergeCell ref="C6:C8"/>
    <mergeCell ref="D6:D8"/>
    <mergeCell ref="E6:E8"/>
    <mergeCell ref="F6:F8"/>
  </mergeCells>
  <pageMargins left="0.7" right="0.7" top="0.75" bottom="0.75" header="0.3" footer="0.3"/>
  <pageSetup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85C20-CB13-4526-80BC-F11E35C8CC5F}">
  <sheetPr>
    <pageSetUpPr fitToPage="1"/>
  </sheetPr>
  <dimension ref="B1:P54"/>
  <sheetViews>
    <sheetView showGridLines="0" zoomScaleNormal="100" workbookViewId="0">
      <selection activeCell="F42" sqref="F42:F44"/>
    </sheetView>
  </sheetViews>
  <sheetFormatPr baseColWidth="10" defaultColWidth="10.90625" defaultRowHeight="14.5" x14ac:dyDescent="0.35"/>
  <cols>
    <col min="1" max="1" width="2" customWidth="1"/>
    <col min="2" max="2" width="10.90625" style="2"/>
    <col min="3" max="3" width="14.54296875" style="2" customWidth="1"/>
    <col min="4" max="4" width="15.6328125" style="2" customWidth="1"/>
    <col min="5" max="5" width="16.7265625" style="2" customWidth="1"/>
    <col min="6" max="6" width="17.1796875" style="2" customWidth="1"/>
    <col min="7" max="7" width="20.26953125" style="2" customWidth="1"/>
    <col min="8" max="8" width="4.36328125" customWidth="1"/>
    <col min="10" max="10" width="15.7265625" customWidth="1"/>
    <col min="13" max="15" width="10.90625" style="2"/>
  </cols>
  <sheetData>
    <row r="1" spans="2:16" x14ac:dyDescent="0.35">
      <c r="B1" s="8" t="s">
        <v>52</v>
      </c>
      <c r="M1" s="9" t="s">
        <v>24</v>
      </c>
      <c r="N1" s="9" t="s">
        <v>33</v>
      </c>
      <c r="O1" s="12" t="s">
        <v>58</v>
      </c>
    </row>
    <row r="2" spans="2:16" x14ac:dyDescent="0.35">
      <c r="B2" s="4"/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</row>
    <row r="3" spans="2:16" x14ac:dyDescent="0.35">
      <c r="B3" s="3" t="s">
        <v>0</v>
      </c>
      <c r="C3" s="14" t="s">
        <v>13</v>
      </c>
      <c r="D3" s="15" t="s">
        <v>19</v>
      </c>
      <c r="E3" s="17" t="s">
        <v>18</v>
      </c>
      <c r="F3" s="15" t="s">
        <v>19</v>
      </c>
      <c r="G3" s="17" t="s">
        <v>18</v>
      </c>
      <c r="I3" s="1"/>
      <c r="J3" s="1" t="s">
        <v>11</v>
      </c>
      <c r="K3" s="1">
        <f>2.5+2.5+2.5+2.5+2</f>
        <v>12</v>
      </c>
      <c r="M3" s="9">
        <f>K3</f>
        <v>12</v>
      </c>
    </row>
    <row r="4" spans="2:16" x14ac:dyDescent="0.35">
      <c r="B4" s="3" t="s">
        <v>1</v>
      </c>
      <c r="C4" s="14"/>
      <c r="D4" s="16"/>
      <c r="E4" s="16"/>
      <c r="F4" s="16"/>
      <c r="G4" s="17"/>
      <c r="I4" s="1"/>
      <c r="J4" t="s">
        <v>12</v>
      </c>
      <c r="K4">
        <f>2.5+2.5+2.5</f>
        <v>7.5</v>
      </c>
      <c r="N4" s="2">
        <v>7.5</v>
      </c>
    </row>
    <row r="5" spans="2:16" ht="14.5" customHeight="1" x14ac:dyDescent="0.35">
      <c r="B5" s="3" t="s">
        <v>2</v>
      </c>
      <c r="C5" s="14"/>
      <c r="D5" s="16"/>
      <c r="E5" s="16"/>
      <c r="F5" s="16"/>
      <c r="G5" s="18" t="s">
        <v>22</v>
      </c>
      <c r="J5" t="s">
        <v>15</v>
      </c>
      <c r="K5">
        <f>2.5+2</f>
        <v>4.5</v>
      </c>
      <c r="M5" s="10">
        <v>1.5</v>
      </c>
      <c r="N5" s="2">
        <v>4.5</v>
      </c>
      <c r="P5" s="11" t="s">
        <v>60</v>
      </c>
    </row>
    <row r="6" spans="2:16" x14ac:dyDescent="0.35">
      <c r="B6" s="3" t="s">
        <v>3</v>
      </c>
      <c r="C6" s="17" t="s">
        <v>18</v>
      </c>
      <c r="D6" s="17" t="s">
        <v>18</v>
      </c>
      <c r="E6" s="15" t="s">
        <v>19</v>
      </c>
      <c r="F6" s="17" t="s">
        <v>18</v>
      </c>
      <c r="G6" s="18"/>
    </row>
    <row r="7" spans="2:16" x14ac:dyDescent="0.35">
      <c r="B7" s="3" t="s">
        <v>4</v>
      </c>
      <c r="C7" s="16"/>
      <c r="D7" s="16"/>
      <c r="E7" s="16"/>
      <c r="F7" s="16"/>
      <c r="G7" s="18"/>
    </row>
    <row r="8" spans="2:16" x14ac:dyDescent="0.35">
      <c r="B8" s="3" t="s">
        <v>5</v>
      </c>
      <c r="C8" s="16"/>
      <c r="D8" s="16"/>
      <c r="E8" s="16"/>
      <c r="F8" s="16"/>
      <c r="G8" s="5"/>
    </row>
    <row r="10" spans="2:16" x14ac:dyDescent="0.35">
      <c r="B10" s="8" t="s">
        <v>53</v>
      </c>
    </row>
    <row r="11" spans="2:16" x14ac:dyDescent="0.35">
      <c r="B11" s="4"/>
      <c r="C11" s="3" t="s">
        <v>6</v>
      </c>
      <c r="D11" s="3" t="s">
        <v>7</v>
      </c>
      <c r="E11" s="3" t="s">
        <v>8</v>
      </c>
      <c r="F11" s="3" t="s">
        <v>9</v>
      </c>
      <c r="G11" s="7" t="s">
        <v>10</v>
      </c>
    </row>
    <row r="12" spans="2:16" ht="14.5" customHeight="1" x14ac:dyDescent="0.35">
      <c r="B12" s="3" t="s">
        <v>0</v>
      </c>
      <c r="C12" s="19" t="s">
        <v>19</v>
      </c>
      <c r="D12" s="26" t="s">
        <v>19</v>
      </c>
      <c r="E12" s="21" t="s">
        <v>18</v>
      </c>
      <c r="F12" s="19" t="s">
        <v>19</v>
      </c>
      <c r="G12" s="18" t="s">
        <v>22</v>
      </c>
      <c r="I12" s="1"/>
      <c r="J12" s="1" t="s">
        <v>11</v>
      </c>
      <c r="K12" s="1">
        <f>3+2.5+3+2</f>
        <v>10.5</v>
      </c>
      <c r="M12" s="2">
        <v>10.5</v>
      </c>
    </row>
    <row r="13" spans="2:16" x14ac:dyDescent="0.35">
      <c r="B13" s="3" t="s">
        <v>1</v>
      </c>
      <c r="C13" s="20"/>
      <c r="D13" s="22"/>
      <c r="E13" s="27"/>
      <c r="F13" s="20"/>
      <c r="G13" s="18"/>
      <c r="J13" s="1" t="s">
        <v>14</v>
      </c>
      <c r="K13" s="1">
        <v>3</v>
      </c>
      <c r="M13" s="2">
        <v>3</v>
      </c>
    </row>
    <row r="14" spans="2:16" x14ac:dyDescent="0.35">
      <c r="B14" s="3" t="s">
        <v>2</v>
      </c>
      <c r="C14" s="21" t="s">
        <v>18</v>
      </c>
      <c r="D14" s="23"/>
      <c r="E14" s="27"/>
      <c r="F14" s="24" t="s">
        <v>20</v>
      </c>
      <c r="G14" s="25" t="s">
        <v>23</v>
      </c>
      <c r="J14" t="s">
        <v>12</v>
      </c>
      <c r="K14">
        <f>2+2.5+2+2</f>
        <v>8.5</v>
      </c>
      <c r="N14" s="2">
        <v>8.5</v>
      </c>
    </row>
    <row r="15" spans="2:16" x14ac:dyDescent="0.35">
      <c r="B15" s="3" t="s">
        <v>3</v>
      </c>
      <c r="C15" s="22"/>
      <c r="D15" s="21" t="s">
        <v>18</v>
      </c>
      <c r="E15" s="27"/>
      <c r="F15" s="22"/>
      <c r="G15" s="25"/>
      <c r="J15" t="s">
        <v>15</v>
      </c>
      <c r="K15">
        <v>2</v>
      </c>
      <c r="N15" s="2">
        <v>2</v>
      </c>
    </row>
    <row r="16" spans="2:16" x14ac:dyDescent="0.35">
      <c r="B16" s="3" t="s">
        <v>4</v>
      </c>
      <c r="C16" s="22"/>
      <c r="D16" s="22"/>
      <c r="E16" s="19" t="s">
        <v>19</v>
      </c>
      <c r="F16" s="22"/>
      <c r="G16" s="25"/>
      <c r="J16" s="1"/>
      <c r="K16" s="1"/>
    </row>
    <row r="17" spans="2:16" x14ac:dyDescent="0.35">
      <c r="B17" s="3" t="s">
        <v>5</v>
      </c>
      <c r="C17" s="23"/>
      <c r="D17" s="23"/>
      <c r="E17" s="20"/>
      <c r="F17" s="23"/>
      <c r="G17" s="6"/>
    </row>
    <row r="19" spans="2:16" x14ac:dyDescent="0.35">
      <c r="B19" s="8" t="s">
        <v>54</v>
      </c>
    </row>
    <row r="20" spans="2:16" x14ac:dyDescent="0.35">
      <c r="B20" s="4"/>
      <c r="C20" s="3" t="s">
        <v>6</v>
      </c>
      <c r="D20" s="3" t="s">
        <v>7</v>
      </c>
      <c r="E20" s="3" t="s">
        <v>8</v>
      </c>
      <c r="F20" s="3" t="s">
        <v>9</v>
      </c>
      <c r="G20" s="7" t="s">
        <v>10</v>
      </c>
    </row>
    <row r="21" spans="2:16" ht="14.5" customHeight="1" x14ac:dyDescent="0.35">
      <c r="B21" s="3" t="s">
        <v>0</v>
      </c>
      <c r="C21" s="26" t="s">
        <v>19</v>
      </c>
      <c r="D21" s="19" t="s">
        <v>19</v>
      </c>
      <c r="E21" s="42" t="s">
        <v>61</v>
      </c>
      <c r="F21" s="26" t="s">
        <v>19</v>
      </c>
      <c r="G21" s="14" t="s">
        <v>13</v>
      </c>
      <c r="I21" s="1"/>
      <c r="J21" s="1" t="s">
        <v>14</v>
      </c>
      <c r="K21" s="1">
        <f>3+3+2.5</f>
        <v>8.5</v>
      </c>
      <c r="M21" s="2">
        <v>7.5</v>
      </c>
    </row>
    <row r="22" spans="2:16" x14ac:dyDescent="0.35">
      <c r="B22" s="3" t="s">
        <v>1</v>
      </c>
      <c r="C22" s="22"/>
      <c r="D22" s="20"/>
      <c r="E22" s="42"/>
      <c r="F22" s="34"/>
      <c r="G22" s="14"/>
      <c r="I22" s="1"/>
      <c r="J22" t="s">
        <v>12</v>
      </c>
      <c r="K22">
        <f>2.5+4</f>
        <v>6.5</v>
      </c>
      <c r="N22" s="2">
        <v>6.5</v>
      </c>
    </row>
    <row r="23" spans="2:16" ht="14.5" customHeight="1" x14ac:dyDescent="0.35">
      <c r="B23" s="3" t="s">
        <v>2</v>
      </c>
      <c r="C23" s="23"/>
      <c r="D23" s="43" t="s">
        <v>20</v>
      </c>
      <c r="E23" s="42"/>
      <c r="F23" s="24" t="s">
        <v>20</v>
      </c>
      <c r="G23" s="18" t="s">
        <v>13</v>
      </c>
      <c r="J23" s="1" t="s">
        <v>30</v>
      </c>
      <c r="K23" s="1">
        <v>4.5</v>
      </c>
      <c r="M23" s="10">
        <v>4.5</v>
      </c>
      <c r="P23" s="11" t="s">
        <v>44</v>
      </c>
    </row>
    <row r="24" spans="2:16" x14ac:dyDescent="0.35">
      <c r="B24" s="3" t="s">
        <v>3</v>
      </c>
      <c r="C24" s="24" t="s">
        <v>20</v>
      </c>
      <c r="D24" s="44"/>
      <c r="E24" s="18" t="s">
        <v>61</v>
      </c>
      <c r="F24" s="32"/>
      <c r="G24" s="18"/>
      <c r="J24" t="s">
        <v>31</v>
      </c>
      <c r="K24">
        <v>4.5</v>
      </c>
      <c r="N24" s="2">
        <v>4.5</v>
      </c>
      <c r="P24" s="1"/>
    </row>
    <row r="25" spans="2:16" x14ac:dyDescent="0.35">
      <c r="B25" s="3" t="s">
        <v>4</v>
      </c>
      <c r="C25" s="32"/>
      <c r="D25" s="44"/>
      <c r="E25" s="18"/>
      <c r="F25" s="32"/>
      <c r="G25" s="18"/>
      <c r="P25" s="1"/>
    </row>
    <row r="26" spans="2:16" x14ac:dyDescent="0.35">
      <c r="B26" s="3" t="s">
        <v>5</v>
      </c>
      <c r="C26" s="33"/>
      <c r="D26" s="23"/>
      <c r="E26" s="18"/>
      <c r="F26" s="33"/>
      <c r="G26" s="6"/>
      <c r="P26" s="1"/>
    </row>
    <row r="27" spans="2:16" x14ac:dyDescent="0.35">
      <c r="P27" s="1"/>
    </row>
    <row r="28" spans="2:16" x14ac:dyDescent="0.35">
      <c r="B28" s="8" t="s">
        <v>55</v>
      </c>
      <c r="P28" s="1"/>
    </row>
    <row r="29" spans="2:16" x14ac:dyDescent="0.35">
      <c r="B29" s="4"/>
      <c r="C29" s="3" t="s">
        <v>6</v>
      </c>
      <c r="D29" s="3" t="s">
        <v>7</v>
      </c>
      <c r="E29" s="3" t="s">
        <v>8</v>
      </c>
      <c r="F29" s="3" t="s">
        <v>9</v>
      </c>
      <c r="G29" s="7" t="s">
        <v>10</v>
      </c>
      <c r="P29" s="1"/>
    </row>
    <row r="30" spans="2:16" ht="14.5" customHeight="1" x14ac:dyDescent="0.35">
      <c r="B30" s="3" t="s">
        <v>0</v>
      </c>
      <c r="C30" s="26" t="s">
        <v>19</v>
      </c>
      <c r="D30" s="26" t="s">
        <v>19</v>
      </c>
      <c r="E30" s="24" t="s">
        <v>20</v>
      </c>
      <c r="F30" s="19" t="s">
        <v>19</v>
      </c>
      <c r="G30" s="14" t="s">
        <v>22</v>
      </c>
      <c r="I30" s="1"/>
      <c r="J30" s="1" t="s">
        <v>14</v>
      </c>
      <c r="K30" s="1">
        <f>2.5+2.5+2+3</f>
        <v>10</v>
      </c>
      <c r="M30" s="2">
        <v>10</v>
      </c>
      <c r="P30" s="1"/>
    </row>
    <row r="31" spans="2:16" x14ac:dyDescent="0.35">
      <c r="B31" s="3" t="s">
        <v>1</v>
      </c>
      <c r="C31" s="35"/>
      <c r="D31" s="35"/>
      <c r="E31" s="33"/>
      <c r="F31" s="20"/>
      <c r="G31" s="14"/>
      <c r="J31" t="s">
        <v>12</v>
      </c>
      <c r="K31">
        <f>2.5+2.5+2</f>
        <v>7</v>
      </c>
      <c r="N31" s="2">
        <v>7</v>
      </c>
      <c r="P31" s="1"/>
    </row>
    <row r="32" spans="2:16" ht="14.5" customHeight="1" x14ac:dyDescent="0.35">
      <c r="B32" s="3" t="s">
        <v>2</v>
      </c>
      <c r="C32" s="34"/>
      <c r="D32" s="34"/>
      <c r="E32" s="36" t="s">
        <v>13</v>
      </c>
      <c r="F32" s="39" t="s">
        <v>21</v>
      </c>
      <c r="G32" s="18" t="s">
        <v>22</v>
      </c>
      <c r="J32" s="1" t="s">
        <v>30</v>
      </c>
      <c r="K32" s="1">
        <v>2</v>
      </c>
      <c r="M32" s="10">
        <v>2</v>
      </c>
      <c r="P32" s="11" t="s">
        <v>45</v>
      </c>
    </row>
    <row r="33" spans="2:16" x14ac:dyDescent="0.35">
      <c r="B33" s="3" t="s">
        <v>3</v>
      </c>
      <c r="C33" s="24" t="s">
        <v>20</v>
      </c>
      <c r="D33" s="24" t="s">
        <v>20</v>
      </c>
      <c r="E33" s="37"/>
      <c r="F33" s="40"/>
      <c r="G33" s="18"/>
      <c r="J33" t="s">
        <v>31</v>
      </c>
      <c r="K33" s="1">
        <v>5</v>
      </c>
      <c r="N33" s="2">
        <v>5</v>
      </c>
      <c r="P33" s="1"/>
    </row>
    <row r="34" spans="2:16" x14ac:dyDescent="0.35">
      <c r="B34" s="3" t="s">
        <v>4</v>
      </c>
      <c r="C34" s="32"/>
      <c r="D34" s="32"/>
      <c r="E34" s="37"/>
      <c r="F34" s="40"/>
      <c r="G34" s="18"/>
      <c r="P34" s="1"/>
    </row>
    <row r="35" spans="2:16" x14ac:dyDescent="0.35">
      <c r="B35" s="3" t="s">
        <v>5</v>
      </c>
      <c r="C35" s="33"/>
      <c r="D35" s="33"/>
      <c r="E35" s="38"/>
      <c r="F35" s="41"/>
      <c r="G35" s="6"/>
      <c r="P35" s="1"/>
    </row>
    <row r="36" spans="2:16" x14ac:dyDescent="0.35">
      <c r="P36" s="1"/>
    </row>
    <row r="37" spans="2:16" x14ac:dyDescent="0.35">
      <c r="B37" s="8" t="s">
        <v>56</v>
      </c>
      <c r="P37" s="1"/>
    </row>
    <row r="38" spans="2:16" x14ac:dyDescent="0.35">
      <c r="B38" s="4"/>
      <c r="C38" s="3" t="s">
        <v>6</v>
      </c>
      <c r="D38" s="3" t="s">
        <v>7</v>
      </c>
      <c r="E38" s="3" t="s">
        <v>8</v>
      </c>
      <c r="F38" s="3" t="s">
        <v>9</v>
      </c>
      <c r="G38" s="7" t="s">
        <v>10</v>
      </c>
      <c r="P38" s="1"/>
    </row>
    <row r="39" spans="2:16" ht="14.5" customHeight="1" x14ac:dyDescent="0.35">
      <c r="B39" s="3" t="s">
        <v>0</v>
      </c>
      <c r="C39" s="18" t="s">
        <v>13</v>
      </c>
      <c r="D39" s="18" t="s">
        <v>13</v>
      </c>
      <c r="E39" s="26" t="s">
        <v>19</v>
      </c>
      <c r="F39" s="18" t="s">
        <v>13</v>
      </c>
      <c r="G39" s="45" t="s">
        <v>57</v>
      </c>
      <c r="I39" s="1"/>
      <c r="J39" s="1" t="s">
        <v>14</v>
      </c>
      <c r="K39" s="1">
        <v>3</v>
      </c>
      <c r="M39" s="2">
        <v>3</v>
      </c>
      <c r="P39" s="1"/>
    </row>
    <row r="40" spans="2:16" x14ac:dyDescent="0.35">
      <c r="B40" s="3" t="s">
        <v>1</v>
      </c>
      <c r="C40" s="18"/>
      <c r="D40" s="18"/>
      <c r="E40" s="35"/>
      <c r="F40" s="18"/>
      <c r="G40" s="46"/>
      <c r="I40" s="1"/>
      <c r="J40" t="s">
        <v>12</v>
      </c>
      <c r="K40">
        <v>2.5</v>
      </c>
      <c r="N40" s="2">
        <v>2.5</v>
      </c>
      <c r="P40" s="1"/>
    </row>
    <row r="41" spans="2:16" x14ac:dyDescent="0.35">
      <c r="B41" s="3" t="s">
        <v>2</v>
      </c>
      <c r="C41" s="43" t="s">
        <v>20</v>
      </c>
      <c r="D41" s="18"/>
      <c r="E41" s="34"/>
      <c r="F41" s="18"/>
      <c r="G41" s="46"/>
      <c r="I41" s="1"/>
      <c r="J41" t="s">
        <v>15</v>
      </c>
      <c r="K41">
        <v>18.5</v>
      </c>
      <c r="M41" s="10"/>
      <c r="N41" s="2">
        <v>10.5</v>
      </c>
      <c r="O41" s="12">
        <v>8</v>
      </c>
      <c r="P41" s="13" t="s">
        <v>59</v>
      </c>
    </row>
    <row r="42" spans="2:16" x14ac:dyDescent="0.35">
      <c r="B42" s="3" t="s">
        <v>3</v>
      </c>
      <c r="C42" s="44"/>
      <c r="D42" s="45" t="s">
        <v>13</v>
      </c>
      <c r="E42" s="45" t="s">
        <v>13</v>
      </c>
      <c r="F42" s="45" t="s">
        <v>13</v>
      </c>
      <c r="G42" s="46"/>
    </row>
    <row r="43" spans="2:16" x14ac:dyDescent="0.35">
      <c r="B43" s="3" t="s">
        <v>4</v>
      </c>
      <c r="C43" s="44"/>
      <c r="D43" s="54"/>
      <c r="E43" s="54"/>
      <c r="F43" s="54"/>
      <c r="G43" s="47"/>
      <c r="K43" s="1">
        <f>SUM(K3:K41)</f>
        <v>120</v>
      </c>
      <c r="L43" s="1"/>
      <c r="M43" s="9">
        <f>SUM(M3:M41)</f>
        <v>54</v>
      </c>
      <c r="N43" s="9">
        <f>SUM(N3:N41)</f>
        <v>58.5</v>
      </c>
      <c r="O43" s="12">
        <v>8</v>
      </c>
    </row>
    <row r="44" spans="2:16" x14ac:dyDescent="0.35">
      <c r="B44" s="3" t="s">
        <v>5</v>
      </c>
      <c r="C44" s="23"/>
      <c r="D44" s="55"/>
      <c r="E44" s="55"/>
      <c r="F44" s="55"/>
      <c r="G44" s="6"/>
    </row>
    <row r="46" spans="2:16" x14ac:dyDescent="0.35">
      <c r="K46">
        <f>5*4*5</f>
        <v>100</v>
      </c>
    </row>
    <row r="47" spans="2:16" x14ac:dyDescent="0.35">
      <c r="K47">
        <f>4*5</f>
        <v>20</v>
      </c>
    </row>
    <row r="48" spans="2:16" x14ac:dyDescent="0.35">
      <c r="K48">
        <v>120</v>
      </c>
    </row>
    <row r="50" spans="10:11" x14ac:dyDescent="0.35">
      <c r="J50" s="1" t="s">
        <v>49</v>
      </c>
      <c r="K50" s="1">
        <f>K3+K12</f>
        <v>22.5</v>
      </c>
    </row>
    <row r="51" spans="10:11" x14ac:dyDescent="0.35">
      <c r="J51" s="1" t="s">
        <v>50</v>
      </c>
      <c r="K51" s="1">
        <f>K13+K21+K30+K39</f>
        <v>24.5</v>
      </c>
    </row>
    <row r="52" spans="10:11" x14ac:dyDescent="0.35">
      <c r="J52" s="1" t="s">
        <v>51</v>
      </c>
      <c r="K52" s="1">
        <f>K4+K14+K22+K31+K40</f>
        <v>32</v>
      </c>
    </row>
    <row r="53" spans="10:11" x14ac:dyDescent="0.35">
      <c r="J53" s="1" t="s">
        <v>48</v>
      </c>
      <c r="K53" s="1">
        <f>K5+K15+K23+K24+K32+K33+K41</f>
        <v>41</v>
      </c>
    </row>
    <row r="54" spans="10:11" x14ac:dyDescent="0.35">
      <c r="K54">
        <f>SUM(K50:K53)</f>
        <v>120</v>
      </c>
    </row>
  </sheetData>
  <mergeCells count="49">
    <mergeCell ref="C30:C32"/>
    <mergeCell ref="C33:C35"/>
    <mergeCell ref="C39:C40"/>
    <mergeCell ref="C41:C44"/>
    <mergeCell ref="F42:F44"/>
    <mergeCell ref="G21:G22"/>
    <mergeCell ref="G23:G25"/>
    <mergeCell ref="G39:G43"/>
    <mergeCell ref="D30:D32"/>
    <mergeCell ref="E30:E31"/>
    <mergeCell ref="F30:F31"/>
    <mergeCell ref="E32:E35"/>
    <mergeCell ref="F32:F35"/>
    <mergeCell ref="D33:D35"/>
    <mergeCell ref="E39:E41"/>
    <mergeCell ref="E42:E44"/>
    <mergeCell ref="G30:G31"/>
    <mergeCell ref="G32:G34"/>
    <mergeCell ref="D39:D41"/>
    <mergeCell ref="D42:D44"/>
    <mergeCell ref="F39:F41"/>
    <mergeCell ref="G12:G13"/>
    <mergeCell ref="C14:C17"/>
    <mergeCell ref="F14:F17"/>
    <mergeCell ref="G14:G16"/>
    <mergeCell ref="D15:D17"/>
    <mergeCell ref="E16:E17"/>
    <mergeCell ref="C12:C13"/>
    <mergeCell ref="D12:D14"/>
    <mergeCell ref="E12:E15"/>
    <mergeCell ref="F12:F13"/>
    <mergeCell ref="G3:G4"/>
    <mergeCell ref="G5:G7"/>
    <mergeCell ref="C6:C8"/>
    <mergeCell ref="D6:D8"/>
    <mergeCell ref="E6:E8"/>
    <mergeCell ref="F6:F8"/>
    <mergeCell ref="C3:C5"/>
    <mergeCell ref="D3:D5"/>
    <mergeCell ref="E3:E5"/>
    <mergeCell ref="F3:F5"/>
    <mergeCell ref="F21:F22"/>
    <mergeCell ref="F23:F26"/>
    <mergeCell ref="C21:C23"/>
    <mergeCell ref="C24:C26"/>
    <mergeCell ref="D21:D22"/>
    <mergeCell ref="D23:D26"/>
    <mergeCell ref="E21:E23"/>
    <mergeCell ref="E24:E2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AC7A1-686F-4ADB-B09E-7B24D320AEEC}">
  <sheetPr>
    <pageSetUpPr fitToPage="1"/>
  </sheetPr>
  <dimension ref="B1:O54"/>
  <sheetViews>
    <sheetView showGridLines="0" topLeftCell="A26" zoomScaleNormal="100" workbookViewId="0">
      <selection activeCell="E47" sqref="E47"/>
    </sheetView>
  </sheetViews>
  <sheetFormatPr baseColWidth="10" defaultColWidth="10.90625" defaultRowHeight="14.5" x14ac:dyDescent="0.35"/>
  <cols>
    <col min="1" max="1" width="2" customWidth="1"/>
    <col min="2" max="2" width="12.7265625" style="2" customWidth="1"/>
    <col min="3" max="4" width="12.6328125" style="2" customWidth="1"/>
    <col min="5" max="5" width="16.7265625" style="2" customWidth="1"/>
    <col min="6" max="6" width="17.1796875" style="2" customWidth="1"/>
    <col min="7" max="7" width="20.26953125" style="2" customWidth="1"/>
    <col min="8" max="8" width="4.36328125" customWidth="1"/>
    <col min="10" max="10" width="13.6328125" customWidth="1"/>
    <col min="13" max="14" width="10.90625" style="2"/>
  </cols>
  <sheetData>
    <row r="1" spans="2:15" x14ac:dyDescent="0.35">
      <c r="B1" s="8" t="s">
        <v>25</v>
      </c>
      <c r="M1" s="9" t="s">
        <v>24</v>
      </c>
      <c r="N1" s="9" t="s">
        <v>33</v>
      </c>
    </row>
    <row r="2" spans="2:15" x14ac:dyDescent="0.35">
      <c r="B2" s="4"/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</row>
    <row r="3" spans="2:15" x14ac:dyDescent="0.35">
      <c r="B3" s="3" t="s">
        <v>34</v>
      </c>
      <c r="C3" s="14" t="s">
        <v>13</v>
      </c>
      <c r="D3" s="15" t="s">
        <v>19</v>
      </c>
      <c r="E3" s="17" t="s">
        <v>18</v>
      </c>
      <c r="F3" s="15" t="s">
        <v>19</v>
      </c>
      <c r="G3" s="51" t="s">
        <v>62</v>
      </c>
      <c r="I3" s="1"/>
      <c r="J3" s="1" t="s">
        <v>11</v>
      </c>
      <c r="K3" s="1">
        <f>2.5+2.5+2.5+2.5+2</f>
        <v>12</v>
      </c>
      <c r="M3" s="9">
        <f>K3</f>
        <v>12</v>
      </c>
    </row>
    <row r="4" spans="2:15" x14ac:dyDescent="0.35">
      <c r="B4" s="3" t="s">
        <v>35</v>
      </c>
      <c r="C4" s="14"/>
      <c r="D4" s="16"/>
      <c r="E4" s="16"/>
      <c r="F4" s="16"/>
      <c r="G4" s="52"/>
      <c r="I4" s="1"/>
      <c r="J4" t="s">
        <v>12</v>
      </c>
      <c r="K4">
        <f>2.5+2.5+2.5</f>
        <v>7.5</v>
      </c>
      <c r="N4" s="2">
        <v>7.5</v>
      </c>
    </row>
    <row r="5" spans="2:15" x14ac:dyDescent="0.35">
      <c r="B5" s="3" t="s">
        <v>36</v>
      </c>
      <c r="C5" s="14"/>
      <c r="D5" s="16"/>
      <c r="E5" s="16"/>
      <c r="F5" s="16"/>
      <c r="G5" s="51" t="s">
        <v>63</v>
      </c>
      <c r="J5" t="s">
        <v>15</v>
      </c>
      <c r="K5">
        <f>2.5+2</f>
        <v>4.5</v>
      </c>
      <c r="M5" s="10">
        <v>1.5</v>
      </c>
      <c r="N5" s="2">
        <v>4.5</v>
      </c>
      <c r="O5" s="11" t="s">
        <v>42</v>
      </c>
    </row>
    <row r="6" spans="2:15" x14ac:dyDescent="0.35">
      <c r="B6" s="3" t="s">
        <v>37</v>
      </c>
      <c r="C6" s="17" t="s">
        <v>18</v>
      </c>
      <c r="D6" s="17" t="s">
        <v>18</v>
      </c>
      <c r="E6" s="15" t="s">
        <v>19</v>
      </c>
      <c r="F6" s="17" t="s">
        <v>18</v>
      </c>
      <c r="G6" s="53"/>
    </row>
    <row r="7" spans="2:15" x14ac:dyDescent="0.35">
      <c r="B7" s="3" t="s">
        <v>38</v>
      </c>
      <c r="C7" s="16"/>
      <c r="D7" s="16"/>
      <c r="E7" s="16"/>
      <c r="F7" s="16"/>
      <c r="G7" s="52"/>
    </row>
    <row r="8" spans="2:15" x14ac:dyDescent="0.35">
      <c r="B8" s="3" t="s">
        <v>39</v>
      </c>
      <c r="C8" s="16"/>
      <c r="D8" s="16"/>
      <c r="E8" s="16"/>
      <c r="F8" s="16"/>
      <c r="G8" s="5"/>
    </row>
    <row r="10" spans="2:15" x14ac:dyDescent="0.35">
      <c r="B10" s="8" t="s">
        <v>26</v>
      </c>
    </row>
    <row r="11" spans="2:15" x14ac:dyDescent="0.35">
      <c r="B11" s="4"/>
      <c r="C11" s="3" t="s">
        <v>6</v>
      </c>
      <c r="D11" s="3" t="s">
        <v>7</v>
      </c>
      <c r="E11" s="3" t="s">
        <v>8</v>
      </c>
      <c r="F11" s="3" t="s">
        <v>9</v>
      </c>
      <c r="G11" s="7" t="s">
        <v>10</v>
      </c>
    </row>
    <row r="12" spans="2:15" ht="14.5" customHeight="1" x14ac:dyDescent="0.35">
      <c r="B12" s="3" t="s">
        <v>34</v>
      </c>
      <c r="C12" s="19" t="s">
        <v>19</v>
      </c>
      <c r="D12" s="26" t="s">
        <v>19</v>
      </c>
      <c r="E12" s="21" t="s">
        <v>18</v>
      </c>
      <c r="F12" s="19" t="s">
        <v>19</v>
      </c>
      <c r="G12" s="18" t="s">
        <v>22</v>
      </c>
      <c r="I12" s="1"/>
      <c r="J12" s="1" t="s">
        <v>11</v>
      </c>
      <c r="K12" s="1">
        <f>3+2.5+3+2</f>
        <v>10.5</v>
      </c>
      <c r="M12" s="2">
        <v>10.5</v>
      </c>
    </row>
    <row r="13" spans="2:15" x14ac:dyDescent="0.35">
      <c r="B13" s="3" t="s">
        <v>35</v>
      </c>
      <c r="C13" s="20"/>
      <c r="D13" s="22"/>
      <c r="E13" s="27"/>
      <c r="F13" s="20"/>
      <c r="G13" s="18"/>
      <c r="J13" s="1" t="s">
        <v>14</v>
      </c>
      <c r="K13" s="1">
        <v>3</v>
      </c>
      <c r="M13" s="2">
        <v>3</v>
      </c>
    </row>
    <row r="14" spans="2:15" x14ac:dyDescent="0.35">
      <c r="B14" s="3" t="s">
        <v>36</v>
      </c>
      <c r="C14" s="21" t="s">
        <v>18</v>
      </c>
      <c r="D14" s="23"/>
      <c r="E14" s="27"/>
      <c r="F14" s="24" t="s">
        <v>20</v>
      </c>
      <c r="G14" s="25" t="s">
        <v>23</v>
      </c>
      <c r="J14" t="s">
        <v>12</v>
      </c>
      <c r="K14">
        <f>2+2.5+2+2</f>
        <v>8.5</v>
      </c>
      <c r="N14" s="2">
        <v>8.5</v>
      </c>
    </row>
    <row r="15" spans="2:15" x14ac:dyDescent="0.35">
      <c r="B15" s="3" t="s">
        <v>37</v>
      </c>
      <c r="C15" s="22"/>
      <c r="D15" s="21" t="s">
        <v>18</v>
      </c>
      <c r="E15" s="27"/>
      <c r="F15" s="22"/>
      <c r="G15" s="25"/>
      <c r="J15" t="s">
        <v>15</v>
      </c>
      <c r="K15">
        <v>2</v>
      </c>
      <c r="N15" s="2">
        <v>2</v>
      </c>
    </row>
    <row r="16" spans="2:15" x14ac:dyDescent="0.35">
      <c r="B16" s="3" t="s">
        <v>38</v>
      </c>
      <c r="C16" s="22"/>
      <c r="D16" s="22"/>
      <c r="E16" s="19" t="s">
        <v>19</v>
      </c>
      <c r="F16" s="22"/>
      <c r="G16" s="25"/>
      <c r="J16" s="1"/>
      <c r="K16" s="1"/>
    </row>
    <row r="17" spans="2:15" x14ac:dyDescent="0.35">
      <c r="B17" s="3" t="s">
        <v>39</v>
      </c>
      <c r="C17" s="23"/>
      <c r="D17" s="23"/>
      <c r="E17" s="20"/>
      <c r="F17" s="23"/>
      <c r="G17" s="6"/>
    </row>
    <row r="19" spans="2:15" x14ac:dyDescent="0.35">
      <c r="B19" s="8" t="s">
        <v>27</v>
      </c>
    </row>
    <row r="20" spans="2:15" x14ac:dyDescent="0.35">
      <c r="B20" s="4"/>
      <c r="C20" s="3" t="s">
        <v>6</v>
      </c>
      <c r="D20" s="3" t="s">
        <v>7</v>
      </c>
      <c r="E20" s="3" t="s">
        <v>8</v>
      </c>
      <c r="F20" s="3" t="s">
        <v>9</v>
      </c>
      <c r="G20" s="7" t="s">
        <v>10</v>
      </c>
    </row>
    <row r="21" spans="2:15" ht="14.5" customHeight="1" x14ac:dyDescent="0.35">
      <c r="B21" s="3" t="s">
        <v>34</v>
      </c>
      <c r="C21" s="28" t="s">
        <v>17</v>
      </c>
      <c r="D21" s="26" t="s">
        <v>19</v>
      </c>
      <c r="E21" s="42" t="s">
        <v>61</v>
      </c>
      <c r="F21" s="19" t="s">
        <v>19</v>
      </c>
      <c r="G21" s="14" t="s">
        <v>13</v>
      </c>
      <c r="I21" s="1"/>
      <c r="J21" s="1" t="s">
        <v>14</v>
      </c>
      <c r="K21" s="1">
        <f>2.5+3</f>
        <v>5.5</v>
      </c>
      <c r="M21" s="2">
        <v>5.5</v>
      </c>
    </row>
    <row r="22" spans="2:15" x14ac:dyDescent="0.35">
      <c r="B22" s="3" t="s">
        <v>35</v>
      </c>
      <c r="C22" s="29"/>
      <c r="D22" s="22"/>
      <c r="E22" s="42"/>
      <c r="F22" s="20"/>
      <c r="G22" s="14"/>
      <c r="I22" s="1"/>
      <c r="J22" t="s">
        <v>12</v>
      </c>
      <c r="K22">
        <f>2.5+2</f>
        <v>4.5</v>
      </c>
      <c r="N22" s="2">
        <v>4.5</v>
      </c>
    </row>
    <row r="23" spans="2:15" ht="14.5" customHeight="1" x14ac:dyDescent="0.35">
      <c r="B23" s="3" t="s">
        <v>36</v>
      </c>
      <c r="C23" s="30"/>
      <c r="D23" s="23"/>
      <c r="E23" s="42"/>
      <c r="F23" s="43" t="s">
        <v>20</v>
      </c>
      <c r="G23" s="18" t="s">
        <v>13</v>
      </c>
      <c r="J23" s="1" t="s">
        <v>30</v>
      </c>
      <c r="K23" s="1">
        <v>4.5</v>
      </c>
      <c r="M23" s="10">
        <v>4.5</v>
      </c>
      <c r="O23" s="11" t="s">
        <v>40</v>
      </c>
    </row>
    <row r="24" spans="2:15" x14ac:dyDescent="0.35">
      <c r="B24" s="3" t="s">
        <v>37</v>
      </c>
      <c r="C24" s="30"/>
      <c r="D24" s="24" t="s">
        <v>20</v>
      </c>
      <c r="E24" s="18" t="s">
        <v>61</v>
      </c>
      <c r="F24" s="44"/>
      <c r="G24" s="18"/>
      <c r="J24" t="s">
        <v>31</v>
      </c>
      <c r="K24">
        <v>4.5</v>
      </c>
      <c r="N24" s="2">
        <v>4.5</v>
      </c>
      <c r="O24" s="1"/>
    </row>
    <row r="25" spans="2:15" x14ac:dyDescent="0.35">
      <c r="B25" s="3" t="s">
        <v>38</v>
      </c>
      <c r="C25" s="30"/>
      <c r="D25" s="32"/>
      <c r="E25" s="18"/>
      <c r="F25" s="44"/>
      <c r="G25" s="18"/>
      <c r="O25" s="1"/>
    </row>
    <row r="26" spans="2:15" x14ac:dyDescent="0.35">
      <c r="B26" s="3" t="s">
        <v>39</v>
      </c>
      <c r="C26" s="31"/>
      <c r="D26" s="33"/>
      <c r="E26" s="18"/>
      <c r="F26" s="23"/>
      <c r="G26" s="6"/>
      <c r="O26" s="1"/>
    </row>
    <row r="27" spans="2:15" x14ac:dyDescent="0.35">
      <c r="O27" s="1"/>
    </row>
    <row r="28" spans="2:15" x14ac:dyDescent="0.35">
      <c r="B28" s="8" t="s">
        <v>28</v>
      </c>
      <c r="O28" s="1"/>
    </row>
    <row r="29" spans="2:15" x14ac:dyDescent="0.35">
      <c r="B29" s="4"/>
      <c r="C29" s="3" t="s">
        <v>6</v>
      </c>
      <c r="D29" s="3" t="s">
        <v>7</v>
      </c>
      <c r="E29" s="3" t="s">
        <v>8</v>
      </c>
      <c r="F29" s="3" t="s">
        <v>9</v>
      </c>
      <c r="G29" s="7" t="s">
        <v>10</v>
      </c>
      <c r="O29" s="1"/>
    </row>
    <row r="30" spans="2:15" ht="14.5" customHeight="1" x14ac:dyDescent="0.35">
      <c r="B30" s="3" t="s">
        <v>34</v>
      </c>
      <c r="C30" s="26" t="s">
        <v>19</v>
      </c>
      <c r="D30" s="26" t="s">
        <v>19</v>
      </c>
      <c r="E30" s="24" t="s">
        <v>20</v>
      </c>
      <c r="F30" s="19" t="s">
        <v>19</v>
      </c>
      <c r="G30" s="14" t="s">
        <v>22</v>
      </c>
      <c r="I30" s="1"/>
      <c r="J30" s="1" t="s">
        <v>14</v>
      </c>
      <c r="K30" s="1">
        <f>3+2.5+2+3</f>
        <v>10.5</v>
      </c>
      <c r="M30" s="2">
        <v>10.5</v>
      </c>
      <c r="O30" s="1"/>
    </row>
    <row r="31" spans="2:15" x14ac:dyDescent="0.35">
      <c r="B31" s="3" t="s">
        <v>35</v>
      </c>
      <c r="C31" s="34"/>
      <c r="D31" s="35"/>
      <c r="E31" s="33"/>
      <c r="F31" s="20"/>
      <c r="G31" s="14"/>
      <c r="J31" t="s">
        <v>12</v>
      </c>
      <c r="K31">
        <f>2+2.5+2</f>
        <v>6.5</v>
      </c>
      <c r="N31" s="2">
        <v>6.5</v>
      </c>
      <c r="O31" s="1"/>
    </row>
    <row r="32" spans="2:15" ht="14.5" customHeight="1" x14ac:dyDescent="0.35">
      <c r="B32" s="3" t="s">
        <v>36</v>
      </c>
      <c r="C32" s="24" t="s">
        <v>20</v>
      </c>
      <c r="D32" s="34"/>
      <c r="E32" s="36" t="s">
        <v>13</v>
      </c>
      <c r="F32" s="39" t="s">
        <v>21</v>
      </c>
      <c r="G32" s="18" t="s">
        <v>22</v>
      </c>
      <c r="J32" s="1" t="s">
        <v>30</v>
      </c>
      <c r="K32" s="1">
        <v>2</v>
      </c>
      <c r="M32" s="10">
        <v>2</v>
      </c>
      <c r="O32" s="11" t="s">
        <v>41</v>
      </c>
    </row>
    <row r="33" spans="2:15" x14ac:dyDescent="0.35">
      <c r="B33" s="3" t="s">
        <v>37</v>
      </c>
      <c r="C33" s="32"/>
      <c r="D33" s="24" t="s">
        <v>20</v>
      </c>
      <c r="E33" s="37"/>
      <c r="F33" s="40"/>
      <c r="G33" s="18"/>
      <c r="J33" t="s">
        <v>31</v>
      </c>
      <c r="K33" s="1">
        <v>5</v>
      </c>
      <c r="N33" s="2">
        <v>5</v>
      </c>
      <c r="O33" s="1"/>
    </row>
    <row r="34" spans="2:15" x14ac:dyDescent="0.35">
      <c r="B34" s="3" t="s">
        <v>38</v>
      </c>
      <c r="C34" s="32"/>
      <c r="D34" s="32"/>
      <c r="E34" s="37"/>
      <c r="F34" s="40"/>
      <c r="G34" s="18"/>
      <c r="O34" s="1"/>
    </row>
    <row r="35" spans="2:15" x14ac:dyDescent="0.35">
      <c r="B35" s="3" t="s">
        <v>39</v>
      </c>
      <c r="C35" s="33"/>
      <c r="D35" s="33"/>
      <c r="E35" s="38"/>
      <c r="F35" s="41"/>
      <c r="G35" s="6"/>
      <c r="O35" s="1"/>
    </row>
    <row r="36" spans="2:15" x14ac:dyDescent="0.35">
      <c r="O36" s="1"/>
    </row>
    <row r="37" spans="2:15" x14ac:dyDescent="0.35">
      <c r="B37" s="8" t="s">
        <v>29</v>
      </c>
      <c r="O37" s="1"/>
    </row>
    <row r="38" spans="2:15" x14ac:dyDescent="0.35">
      <c r="B38" s="4"/>
      <c r="C38" s="3" t="s">
        <v>6</v>
      </c>
      <c r="D38" s="3" t="s">
        <v>7</v>
      </c>
      <c r="E38" s="3" t="s">
        <v>8</v>
      </c>
      <c r="F38" s="3" t="s">
        <v>9</v>
      </c>
      <c r="G38" s="7" t="s">
        <v>10</v>
      </c>
      <c r="O38" s="1"/>
    </row>
    <row r="39" spans="2:15" ht="14.5" customHeight="1" x14ac:dyDescent="0.35">
      <c r="B39" s="3" t="s">
        <v>34</v>
      </c>
      <c r="C39" s="18" t="s">
        <v>13</v>
      </c>
      <c r="D39" s="26" t="s">
        <v>19</v>
      </c>
      <c r="E39" s="42" t="s">
        <v>13</v>
      </c>
      <c r="F39" s="45" t="s">
        <v>32</v>
      </c>
      <c r="G39" s="48" t="s">
        <v>16</v>
      </c>
      <c r="I39" s="1"/>
      <c r="J39" s="1" t="s">
        <v>14</v>
      </c>
      <c r="K39" s="1">
        <f>3+2.5</f>
        <v>5.5</v>
      </c>
      <c r="M39" s="2">
        <v>5.5</v>
      </c>
      <c r="O39" s="1"/>
    </row>
    <row r="40" spans="2:15" x14ac:dyDescent="0.35">
      <c r="B40" s="3" t="s">
        <v>35</v>
      </c>
      <c r="C40" s="18"/>
      <c r="D40" s="35"/>
      <c r="E40" s="42"/>
      <c r="F40" s="46"/>
      <c r="G40" s="49"/>
      <c r="I40" s="1"/>
      <c r="J40" t="s">
        <v>12</v>
      </c>
      <c r="K40">
        <v>2.5</v>
      </c>
      <c r="N40" s="2">
        <v>2.5</v>
      </c>
      <c r="O40" s="1"/>
    </row>
    <row r="41" spans="2:15" x14ac:dyDescent="0.35">
      <c r="B41" s="3" t="s">
        <v>36</v>
      </c>
      <c r="C41" s="43" t="s">
        <v>20</v>
      </c>
      <c r="D41" s="34"/>
      <c r="E41" s="42"/>
      <c r="F41" s="46"/>
      <c r="G41" s="49"/>
      <c r="I41" s="1"/>
      <c r="J41" t="s">
        <v>15</v>
      </c>
      <c r="K41">
        <v>12</v>
      </c>
      <c r="M41" s="10">
        <v>4.5</v>
      </c>
      <c r="N41" s="2">
        <f>2+2.5+5</f>
        <v>9.5</v>
      </c>
      <c r="O41" s="11" t="s">
        <v>47</v>
      </c>
    </row>
    <row r="42" spans="2:15" x14ac:dyDescent="0.35">
      <c r="B42" s="3" t="s">
        <v>37</v>
      </c>
      <c r="C42" s="44"/>
      <c r="D42" s="24" t="s">
        <v>20</v>
      </c>
      <c r="E42" s="18" t="s">
        <v>13</v>
      </c>
      <c r="F42" s="46"/>
      <c r="G42" s="49"/>
    </row>
    <row r="43" spans="2:15" x14ac:dyDescent="0.35">
      <c r="B43" s="3" t="s">
        <v>38</v>
      </c>
      <c r="C43" s="44"/>
      <c r="D43" s="32"/>
      <c r="E43" s="18"/>
      <c r="F43" s="46"/>
      <c r="G43" s="50"/>
      <c r="K43" s="1">
        <f>SUM(K3:K41)</f>
        <v>111</v>
      </c>
      <c r="L43" s="1"/>
      <c r="M43" s="9">
        <f>SUM(M3:M41)</f>
        <v>59.5</v>
      </c>
      <c r="N43" s="9">
        <f>SUM(N3:N41)</f>
        <v>55</v>
      </c>
    </row>
    <row r="44" spans="2:15" x14ac:dyDescent="0.35">
      <c r="B44" s="3" t="s">
        <v>39</v>
      </c>
      <c r="C44" s="23"/>
      <c r="D44" s="33"/>
      <c r="E44" s="18"/>
      <c r="F44" s="47"/>
      <c r="G44" s="6"/>
    </row>
    <row r="46" spans="2:15" x14ac:dyDescent="0.35">
      <c r="K46">
        <f>5*4*5</f>
        <v>100</v>
      </c>
    </row>
    <row r="47" spans="2:15" x14ac:dyDescent="0.35">
      <c r="K47">
        <f>4*5</f>
        <v>20</v>
      </c>
    </row>
    <row r="48" spans="2:15" x14ac:dyDescent="0.35">
      <c r="K48">
        <v>120</v>
      </c>
    </row>
    <row r="49" spans="10:11" x14ac:dyDescent="0.35">
      <c r="K49">
        <f>120-5-4</f>
        <v>111</v>
      </c>
    </row>
    <row r="50" spans="10:11" x14ac:dyDescent="0.35">
      <c r="J50" s="1" t="s">
        <v>49</v>
      </c>
      <c r="K50" s="1">
        <f>K3+K12</f>
        <v>22.5</v>
      </c>
    </row>
    <row r="51" spans="10:11" x14ac:dyDescent="0.35">
      <c r="J51" s="1" t="s">
        <v>50</v>
      </c>
      <c r="K51" s="1">
        <f>K13+K21+K30+K39</f>
        <v>24.5</v>
      </c>
    </row>
    <row r="52" spans="10:11" x14ac:dyDescent="0.35">
      <c r="J52" s="1" t="s">
        <v>51</v>
      </c>
      <c r="K52" s="1">
        <f>K4+K14+K22+K31+K40</f>
        <v>29.5</v>
      </c>
    </row>
    <row r="53" spans="10:11" x14ac:dyDescent="0.35">
      <c r="J53" s="1" t="s">
        <v>48</v>
      </c>
      <c r="K53" s="1">
        <f>K5+K15+K23+K24+K32+K33+K41</f>
        <v>34.5</v>
      </c>
    </row>
    <row r="54" spans="10:11" x14ac:dyDescent="0.35">
      <c r="K54">
        <f>SUM(K50:K53)</f>
        <v>111</v>
      </c>
    </row>
  </sheetData>
  <mergeCells count="47">
    <mergeCell ref="C3:C5"/>
    <mergeCell ref="D3:D5"/>
    <mergeCell ref="E3:E5"/>
    <mergeCell ref="F3:F5"/>
    <mergeCell ref="G3:G4"/>
    <mergeCell ref="G5:G7"/>
    <mergeCell ref="C6:C8"/>
    <mergeCell ref="D6:D8"/>
    <mergeCell ref="E6:E8"/>
    <mergeCell ref="F6:F8"/>
    <mergeCell ref="C12:C13"/>
    <mergeCell ref="D12:D14"/>
    <mergeCell ref="E12:E15"/>
    <mergeCell ref="F12:F13"/>
    <mergeCell ref="G12:G13"/>
    <mergeCell ref="C14:C17"/>
    <mergeCell ref="F14:F17"/>
    <mergeCell ref="G14:G16"/>
    <mergeCell ref="D15:D17"/>
    <mergeCell ref="E16:E17"/>
    <mergeCell ref="C21:C26"/>
    <mergeCell ref="D21:D23"/>
    <mergeCell ref="E21:E23"/>
    <mergeCell ref="F21:F22"/>
    <mergeCell ref="G21:G22"/>
    <mergeCell ref="F23:F26"/>
    <mergeCell ref="G23:G25"/>
    <mergeCell ref="D24:D26"/>
    <mergeCell ref="E24:E26"/>
    <mergeCell ref="C30:C31"/>
    <mergeCell ref="D30:D32"/>
    <mergeCell ref="E30:E31"/>
    <mergeCell ref="F30:F31"/>
    <mergeCell ref="G30:G31"/>
    <mergeCell ref="C32:C35"/>
    <mergeCell ref="E32:E35"/>
    <mergeCell ref="F32:F35"/>
    <mergeCell ref="G32:G34"/>
    <mergeCell ref="D33:D35"/>
    <mergeCell ref="C39:C40"/>
    <mergeCell ref="D39:D41"/>
    <mergeCell ref="E39:E41"/>
    <mergeCell ref="F39:F44"/>
    <mergeCell ref="G39:G43"/>
    <mergeCell ref="C41:C44"/>
    <mergeCell ref="D42:D44"/>
    <mergeCell ref="E42:E4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2F34B-8139-4D0E-8882-03145DDD5E1F}">
  <sheetPr>
    <pageSetUpPr fitToPage="1"/>
  </sheetPr>
  <dimension ref="B1:O54"/>
  <sheetViews>
    <sheetView showGridLines="0" zoomScaleNormal="100" workbookViewId="0">
      <selection activeCell="F39" sqref="F39:F44"/>
    </sheetView>
  </sheetViews>
  <sheetFormatPr baseColWidth="10" defaultColWidth="10.90625" defaultRowHeight="14.5" x14ac:dyDescent="0.35"/>
  <cols>
    <col min="1" max="1" width="2" customWidth="1"/>
    <col min="2" max="2" width="10.90625" style="2"/>
    <col min="3" max="4" width="12.6328125" style="2" customWidth="1"/>
    <col min="5" max="5" width="16.7265625" style="2" customWidth="1"/>
    <col min="6" max="6" width="17.1796875" style="2" customWidth="1"/>
    <col min="7" max="7" width="20.26953125" style="2" customWidth="1"/>
    <col min="8" max="8" width="4.36328125" customWidth="1"/>
    <col min="10" max="10" width="15.7265625" customWidth="1"/>
    <col min="13" max="14" width="10.90625" style="2"/>
  </cols>
  <sheetData>
    <row r="1" spans="2:15" x14ac:dyDescent="0.35">
      <c r="B1" s="8" t="s">
        <v>25</v>
      </c>
      <c r="M1" s="9" t="s">
        <v>24</v>
      </c>
      <c r="N1" s="9" t="s">
        <v>33</v>
      </c>
    </row>
    <row r="2" spans="2:15" x14ac:dyDescent="0.35">
      <c r="B2" s="4"/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</row>
    <row r="3" spans="2:15" x14ac:dyDescent="0.35">
      <c r="B3" s="3" t="s">
        <v>0</v>
      </c>
      <c r="C3" s="14" t="s">
        <v>13</v>
      </c>
      <c r="D3" s="15" t="s">
        <v>19</v>
      </c>
      <c r="E3" s="17" t="s">
        <v>18</v>
      </c>
      <c r="F3" s="15" t="s">
        <v>19</v>
      </c>
      <c r="G3" s="17" t="s">
        <v>18</v>
      </c>
      <c r="I3" s="1"/>
      <c r="J3" s="1" t="s">
        <v>11</v>
      </c>
      <c r="K3" s="1">
        <f>2.5+2.5+2.5+2.5+2</f>
        <v>12</v>
      </c>
      <c r="M3" s="9">
        <f>K3</f>
        <v>12</v>
      </c>
    </row>
    <row r="4" spans="2:15" x14ac:dyDescent="0.35">
      <c r="B4" s="3" t="s">
        <v>1</v>
      </c>
      <c r="C4" s="14"/>
      <c r="D4" s="16"/>
      <c r="E4" s="16"/>
      <c r="F4" s="16"/>
      <c r="G4" s="17"/>
      <c r="I4" s="1"/>
      <c r="J4" t="s">
        <v>12</v>
      </c>
      <c r="K4">
        <f>2.5+2.5+2.5</f>
        <v>7.5</v>
      </c>
      <c r="N4" s="2">
        <v>7.5</v>
      </c>
    </row>
    <row r="5" spans="2:15" ht="14.5" customHeight="1" x14ac:dyDescent="0.35">
      <c r="B5" s="3" t="s">
        <v>2</v>
      </c>
      <c r="C5" s="14"/>
      <c r="D5" s="16"/>
      <c r="E5" s="16"/>
      <c r="F5" s="16"/>
      <c r="G5" s="18" t="s">
        <v>22</v>
      </c>
      <c r="J5" t="s">
        <v>15</v>
      </c>
      <c r="K5">
        <f>2.5+2</f>
        <v>4.5</v>
      </c>
      <c r="M5" s="10">
        <v>1.5</v>
      </c>
      <c r="N5" s="2">
        <v>4.5</v>
      </c>
      <c r="O5" s="11" t="s">
        <v>43</v>
      </c>
    </row>
    <row r="6" spans="2:15" x14ac:dyDescent="0.35">
      <c r="B6" s="3" t="s">
        <v>3</v>
      </c>
      <c r="C6" s="17" t="s">
        <v>18</v>
      </c>
      <c r="D6" s="17" t="s">
        <v>18</v>
      </c>
      <c r="E6" s="15" t="s">
        <v>19</v>
      </c>
      <c r="F6" s="17" t="s">
        <v>18</v>
      </c>
      <c r="G6" s="18"/>
    </row>
    <row r="7" spans="2:15" x14ac:dyDescent="0.35">
      <c r="B7" s="3" t="s">
        <v>4</v>
      </c>
      <c r="C7" s="16"/>
      <c r="D7" s="16"/>
      <c r="E7" s="16"/>
      <c r="F7" s="16"/>
      <c r="G7" s="18"/>
    </row>
    <row r="8" spans="2:15" x14ac:dyDescent="0.35">
      <c r="B8" s="3" t="s">
        <v>5</v>
      </c>
      <c r="C8" s="16"/>
      <c r="D8" s="16"/>
      <c r="E8" s="16"/>
      <c r="F8" s="16"/>
      <c r="G8" s="5"/>
    </row>
    <row r="10" spans="2:15" x14ac:dyDescent="0.35">
      <c r="B10" s="8" t="s">
        <v>26</v>
      </c>
    </row>
    <row r="11" spans="2:15" x14ac:dyDescent="0.35">
      <c r="B11" s="4"/>
      <c r="C11" s="3" t="s">
        <v>6</v>
      </c>
      <c r="D11" s="3" t="s">
        <v>7</v>
      </c>
      <c r="E11" s="3" t="s">
        <v>8</v>
      </c>
      <c r="F11" s="3" t="s">
        <v>9</v>
      </c>
      <c r="G11" s="7" t="s">
        <v>10</v>
      </c>
    </row>
    <row r="12" spans="2:15" ht="14.5" customHeight="1" x14ac:dyDescent="0.35">
      <c r="B12" s="3" t="s">
        <v>0</v>
      </c>
      <c r="C12" s="19" t="s">
        <v>19</v>
      </c>
      <c r="D12" s="26" t="s">
        <v>19</v>
      </c>
      <c r="E12" s="21" t="s">
        <v>18</v>
      </c>
      <c r="F12" s="19" t="s">
        <v>19</v>
      </c>
      <c r="G12" s="18" t="s">
        <v>22</v>
      </c>
      <c r="I12" s="1"/>
      <c r="J12" s="1" t="s">
        <v>11</v>
      </c>
      <c r="K12" s="1">
        <f>3+2.5+3+2</f>
        <v>10.5</v>
      </c>
      <c r="M12" s="2">
        <v>10.5</v>
      </c>
    </row>
    <row r="13" spans="2:15" x14ac:dyDescent="0.35">
      <c r="B13" s="3" t="s">
        <v>1</v>
      </c>
      <c r="C13" s="20"/>
      <c r="D13" s="22"/>
      <c r="E13" s="27"/>
      <c r="F13" s="20"/>
      <c r="G13" s="18"/>
      <c r="J13" s="1" t="s">
        <v>14</v>
      </c>
      <c r="K13" s="1">
        <v>3</v>
      </c>
      <c r="M13" s="2">
        <v>3</v>
      </c>
    </row>
    <row r="14" spans="2:15" x14ac:dyDescent="0.35">
      <c r="B14" s="3" t="s">
        <v>2</v>
      </c>
      <c r="C14" s="21" t="s">
        <v>18</v>
      </c>
      <c r="D14" s="23"/>
      <c r="E14" s="27"/>
      <c r="F14" s="24" t="s">
        <v>20</v>
      </c>
      <c r="G14" s="25" t="s">
        <v>23</v>
      </c>
      <c r="J14" t="s">
        <v>12</v>
      </c>
      <c r="K14">
        <f>2+2.5+2+2</f>
        <v>8.5</v>
      </c>
      <c r="N14" s="2">
        <v>8.5</v>
      </c>
    </row>
    <row r="15" spans="2:15" x14ac:dyDescent="0.35">
      <c r="B15" s="3" t="s">
        <v>3</v>
      </c>
      <c r="C15" s="22"/>
      <c r="D15" s="21" t="s">
        <v>18</v>
      </c>
      <c r="E15" s="27"/>
      <c r="F15" s="22"/>
      <c r="G15" s="25"/>
      <c r="J15" t="s">
        <v>15</v>
      </c>
      <c r="K15">
        <v>2</v>
      </c>
      <c r="N15" s="2">
        <v>2</v>
      </c>
    </row>
    <row r="16" spans="2:15" x14ac:dyDescent="0.35">
      <c r="B16" s="3" t="s">
        <v>4</v>
      </c>
      <c r="C16" s="22"/>
      <c r="D16" s="22"/>
      <c r="E16" s="19" t="s">
        <v>19</v>
      </c>
      <c r="F16" s="22"/>
      <c r="G16" s="25"/>
      <c r="J16" s="1"/>
      <c r="K16" s="1"/>
    </row>
    <row r="17" spans="2:15" x14ac:dyDescent="0.35">
      <c r="B17" s="3" t="s">
        <v>5</v>
      </c>
      <c r="C17" s="23"/>
      <c r="D17" s="23"/>
      <c r="E17" s="20"/>
      <c r="F17" s="23"/>
      <c r="G17" s="6"/>
    </row>
    <row r="19" spans="2:15" x14ac:dyDescent="0.35">
      <c r="B19" s="8" t="s">
        <v>27</v>
      </c>
    </row>
    <row r="20" spans="2:15" x14ac:dyDescent="0.35">
      <c r="B20" s="4"/>
      <c r="C20" s="3" t="s">
        <v>6</v>
      </c>
      <c r="D20" s="3" t="s">
        <v>7</v>
      </c>
      <c r="E20" s="3" t="s">
        <v>8</v>
      </c>
      <c r="F20" s="3" t="s">
        <v>9</v>
      </c>
      <c r="G20" s="7" t="s">
        <v>10</v>
      </c>
    </row>
    <row r="21" spans="2:15" ht="14.5" customHeight="1" x14ac:dyDescent="0.35">
      <c r="B21" s="3" t="s">
        <v>0</v>
      </c>
      <c r="C21" s="28" t="s">
        <v>17</v>
      </c>
      <c r="D21" s="26" t="s">
        <v>19</v>
      </c>
      <c r="E21" s="42" t="s">
        <v>61</v>
      </c>
      <c r="F21" s="19" t="s">
        <v>19</v>
      </c>
      <c r="G21" s="14" t="s">
        <v>13</v>
      </c>
      <c r="I21" s="1"/>
      <c r="J21" s="1" t="s">
        <v>14</v>
      </c>
      <c r="K21" s="1">
        <f>2.5+3</f>
        <v>5.5</v>
      </c>
      <c r="M21" s="2">
        <v>5.5</v>
      </c>
    </row>
    <row r="22" spans="2:15" x14ac:dyDescent="0.35">
      <c r="B22" s="3" t="s">
        <v>1</v>
      </c>
      <c r="C22" s="29"/>
      <c r="D22" s="22"/>
      <c r="E22" s="42"/>
      <c r="F22" s="20"/>
      <c r="G22" s="14"/>
      <c r="I22" s="1"/>
      <c r="J22" t="s">
        <v>12</v>
      </c>
      <c r="K22">
        <f>2.5+2</f>
        <v>4.5</v>
      </c>
      <c r="N22" s="2">
        <v>4.5</v>
      </c>
    </row>
    <row r="23" spans="2:15" ht="14.5" customHeight="1" x14ac:dyDescent="0.35">
      <c r="B23" s="3" t="s">
        <v>2</v>
      </c>
      <c r="C23" s="30"/>
      <c r="D23" s="23"/>
      <c r="E23" s="42"/>
      <c r="F23" s="43" t="s">
        <v>20</v>
      </c>
      <c r="G23" s="18" t="s">
        <v>13</v>
      </c>
      <c r="J23" s="1" t="s">
        <v>30</v>
      </c>
      <c r="K23" s="1">
        <v>4.5</v>
      </c>
      <c r="M23" s="10">
        <v>4.5</v>
      </c>
      <c r="O23" s="11" t="s">
        <v>44</v>
      </c>
    </row>
    <row r="24" spans="2:15" x14ac:dyDescent="0.35">
      <c r="B24" s="3" t="s">
        <v>3</v>
      </c>
      <c r="C24" s="30"/>
      <c r="D24" s="24" t="s">
        <v>20</v>
      </c>
      <c r="E24" s="18" t="s">
        <v>61</v>
      </c>
      <c r="F24" s="44"/>
      <c r="G24" s="18"/>
      <c r="J24" t="s">
        <v>31</v>
      </c>
      <c r="K24">
        <v>4.5</v>
      </c>
      <c r="N24" s="2">
        <v>4.5</v>
      </c>
      <c r="O24" s="1"/>
    </row>
    <row r="25" spans="2:15" x14ac:dyDescent="0.35">
      <c r="B25" s="3" t="s">
        <v>4</v>
      </c>
      <c r="C25" s="30"/>
      <c r="D25" s="32"/>
      <c r="E25" s="18"/>
      <c r="F25" s="44"/>
      <c r="G25" s="18"/>
      <c r="O25" s="1"/>
    </row>
    <row r="26" spans="2:15" x14ac:dyDescent="0.35">
      <c r="B26" s="3" t="s">
        <v>5</v>
      </c>
      <c r="C26" s="31"/>
      <c r="D26" s="33"/>
      <c r="E26" s="18"/>
      <c r="F26" s="23"/>
      <c r="G26" s="6"/>
      <c r="O26" s="1"/>
    </row>
    <row r="27" spans="2:15" x14ac:dyDescent="0.35">
      <c r="O27" s="1"/>
    </row>
    <row r="28" spans="2:15" x14ac:dyDescent="0.35">
      <c r="B28" s="8" t="s">
        <v>28</v>
      </c>
      <c r="O28" s="1"/>
    </row>
    <row r="29" spans="2:15" x14ac:dyDescent="0.35">
      <c r="B29" s="4"/>
      <c r="C29" s="3" t="s">
        <v>6</v>
      </c>
      <c r="D29" s="3" t="s">
        <v>7</v>
      </c>
      <c r="E29" s="3" t="s">
        <v>8</v>
      </c>
      <c r="F29" s="3" t="s">
        <v>9</v>
      </c>
      <c r="G29" s="7" t="s">
        <v>10</v>
      </c>
      <c r="O29" s="1"/>
    </row>
    <row r="30" spans="2:15" ht="14.5" customHeight="1" x14ac:dyDescent="0.35">
      <c r="B30" s="3" t="s">
        <v>0</v>
      </c>
      <c r="C30" s="26" t="s">
        <v>19</v>
      </c>
      <c r="D30" s="26" t="s">
        <v>19</v>
      </c>
      <c r="E30" s="24" t="s">
        <v>20</v>
      </c>
      <c r="F30" s="19" t="s">
        <v>19</v>
      </c>
      <c r="G30" s="14" t="s">
        <v>22</v>
      </c>
      <c r="I30" s="1"/>
      <c r="J30" s="1" t="s">
        <v>14</v>
      </c>
      <c r="K30" s="1">
        <f>3+2.5+2+3</f>
        <v>10.5</v>
      </c>
      <c r="M30" s="2">
        <v>10.5</v>
      </c>
      <c r="O30" s="1"/>
    </row>
    <row r="31" spans="2:15" x14ac:dyDescent="0.35">
      <c r="B31" s="3" t="s">
        <v>1</v>
      </c>
      <c r="C31" s="34"/>
      <c r="D31" s="35"/>
      <c r="E31" s="33"/>
      <c r="F31" s="20"/>
      <c r="G31" s="14"/>
      <c r="J31" t="s">
        <v>12</v>
      </c>
      <c r="K31">
        <f>2+2.5+2</f>
        <v>6.5</v>
      </c>
      <c r="N31" s="2">
        <v>6.5</v>
      </c>
      <c r="O31" s="1"/>
    </row>
    <row r="32" spans="2:15" ht="14.5" customHeight="1" x14ac:dyDescent="0.35">
      <c r="B32" s="3" t="s">
        <v>2</v>
      </c>
      <c r="C32" s="24" t="s">
        <v>20</v>
      </c>
      <c r="D32" s="34"/>
      <c r="E32" s="36" t="s">
        <v>13</v>
      </c>
      <c r="F32" s="39" t="s">
        <v>21</v>
      </c>
      <c r="G32" s="18" t="s">
        <v>22</v>
      </c>
      <c r="J32" s="1" t="s">
        <v>30</v>
      </c>
      <c r="K32" s="1">
        <v>2</v>
      </c>
      <c r="M32" s="10">
        <v>2</v>
      </c>
      <c r="O32" s="11" t="s">
        <v>45</v>
      </c>
    </row>
    <row r="33" spans="2:15" x14ac:dyDescent="0.35">
      <c r="B33" s="3" t="s">
        <v>3</v>
      </c>
      <c r="C33" s="32"/>
      <c r="D33" s="24" t="s">
        <v>20</v>
      </c>
      <c r="E33" s="37"/>
      <c r="F33" s="40"/>
      <c r="G33" s="18"/>
      <c r="J33" t="s">
        <v>31</v>
      </c>
      <c r="K33" s="1">
        <v>5</v>
      </c>
      <c r="N33" s="2">
        <v>5</v>
      </c>
      <c r="O33" s="1"/>
    </row>
    <row r="34" spans="2:15" x14ac:dyDescent="0.35">
      <c r="B34" s="3" t="s">
        <v>4</v>
      </c>
      <c r="C34" s="32"/>
      <c r="D34" s="32"/>
      <c r="E34" s="37"/>
      <c r="F34" s="40"/>
      <c r="G34" s="18"/>
      <c r="O34" s="1"/>
    </row>
    <row r="35" spans="2:15" x14ac:dyDescent="0.35">
      <c r="B35" s="3" t="s">
        <v>5</v>
      </c>
      <c r="C35" s="33"/>
      <c r="D35" s="33"/>
      <c r="E35" s="38"/>
      <c r="F35" s="41"/>
      <c r="G35" s="6"/>
      <c r="O35" s="1"/>
    </row>
    <row r="36" spans="2:15" x14ac:dyDescent="0.35">
      <c r="O36" s="1"/>
    </row>
    <row r="37" spans="2:15" x14ac:dyDescent="0.35">
      <c r="B37" s="8" t="s">
        <v>29</v>
      </c>
      <c r="O37" s="1"/>
    </row>
    <row r="38" spans="2:15" x14ac:dyDescent="0.35">
      <c r="B38" s="4"/>
      <c r="C38" s="3" t="s">
        <v>6</v>
      </c>
      <c r="D38" s="3" t="s">
        <v>7</v>
      </c>
      <c r="E38" s="3" t="s">
        <v>8</v>
      </c>
      <c r="F38" s="3" t="s">
        <v>9</v>
      </c>
      <c r="G38" s="7" t="s">
        <v>10</v>
      </c>
      <c r="O38" s="1"/>
    </row>
    <row r="39" spans="2:15" ht="14.5" customHeight="1" x14ac:dyDescent="0.35">
      <c r="B39" s="3" t="s">
        <v>0</v>
      </c>
      <c r="C39" s="18" t="s">
        <v>13</v>
      </c>
      <c r="D39" s="26" t="s">
        <v>19</v>
      </c>
      <c r="E39" s="42" t="s">
        <v>13</v>
      </c>
      <c r="F39" s="45" t="s">
        <v>32</v>
      </c>
      <c r="G39" s="48" t="s">
        <v>16</v>
      </c>
      <c r="I39" s="1"/>
      <c r="J39" s="1" t="s">
        <v>14</v>
      </c>
      <c r="K39" s="1">
        <f>3+2.5</f>
        <v>5.5</v>
      </c>
      <c r="M39" s="2">
        <v>5.5</v>
      </c>
      <c r="O39" s="1"/>
    </row>
    <row r="40" spans="2:15" x14ac:dyDescent="0.35">
      <c r="B40" s="3" t="s">
        <v>1</v>
      </c>
      <c r="C40" s="18"/>
      <c r="D40" s="35"/>
      <c r="E40" s="42"/>
      <c r="F40" s="46"/>
      <c r="G40" s="49"/>
      <c r="I40" s="1"/>
      <c r="J40" t="s">
        <v>12</v>
      </c>
      <c r="K40">
        <v>2.5</v>
      </c>
      <c r="N40" s="2">
        <v>2.5</v>
      </c>
      <c r="O40" s="1"/>
    </row>
    <row r="41" spans="2:15" x14ac:dyDescent="0.35">
      <c r="B41" s="3" t="s">
        <v>2</v>
      </c>
      <c r="C41" s="43" t="s">
        <v>20</v>
      </c>
      <c r="D41" s="34"/>
      <c r="E41" s="42"/>
      <c r="F41" s="46"/>
      <c r="G41" s="49"/>
      <c r="I41" s="1"/>
      <c r="J41" t="s">
        <v>15</v>
      </c>
      <c r="K41">
        <v>12</v>
      </c>
      <c r="M41" s="10">
        <f>4.5</f>
        <v>4.5</v>
      </c>
      <c r="N41" s="2">
        <f>2+2.5+5</f>
        <v>9.5</v>
      </c>
      <c r="O41" s="11" t="s">
        <v>46</v>
      </c>
    </row>
    <row r="42" spans="2:15" x14ac:dyDescent="0.35">
      <c r="B42" s="3" t="s">
        <v>3</v>
      </c>
      <c r="C42" s="44"/>
      <c r="D42" s="24" t="s">
        <v>20</v>
      </c>
      <c r="E42" s="18" t="s">
        <v>13</v>
      </c>
      <c r="F42" s="46"/>
      <c r="G42" s="49"/>
    </row>
    <row r="43" spans="2:15" x14ac:dyDescent="0.35">
      <c r="B43" s="3" t="s">
        <v>4</v>
      </c>
      <c r="C43" s="44"/>
      <c r="D43" s="32"/>
      <c r="E43" s="18"/>
      <c r="F43" s="46"/>
      <c r="G43" s="50"/>
      <c r="K43" s="1">
        <f>SUM(K3:K41)</f>
        <v>111</v>
      </c>
      <c r="L43" s="1"/>
      <c r="M43" s="9">
        <f>SUM(M3:M41)</f>
        <v>59.5</v>
      </c>
      <c r="N43" s="9">
        <f>SUM(N3:N41)</f>
        <v>55</v>
      </c>
    </row>
    <row r="44" spans="2:15" x14ac:dyDescent="0.35">
      <c r="B44" s="3" t="s">
        <v>5</v>
      </c>
      <c r="C44" s="23"/>
      <c r="D44" s="33"/>
      <c r="E44" s="18"/>
      <c r="F44" s="47"/>
      <c r="G44" s="6"/>
    </row>
    <row r="46" spans="2:15" x14ac:dyDescent="0.35">
      <c r="K46">
        <f>5*4*5</f>
        <v>100</v>
      </c>
    </row>
    <row r="47" spans="2:15" x14ac:dyDescent="0.35">
      <c r="K47">
        <f>4*5</f>
        <v>20</v>
      </c>
    </row>
    <row r="48" spans="2:15" x14ac:dyDescent="0.35">
      <c r="K48">
        <v>120</v>
      </c>
    </row>
    <row r="49" spans="10:11" x14ac:dyDescent="0.35">
      <c r="K49">
        <f>120-5-4</f>
        <v>111</v>
      </c>
    </row>
    <row r="50" spans="10:11" x14ac:dyDescent="0.35">
      <c r="J50" s="1" t="s">
        <v>49</v>
      </c>
      <c r="K50" s="1">
        <f>K3+K12</f>
        <v>22.5</v>
      </c>
    </row>
    <row r="51" spans="10:11" x14ac:dyDescent="0.35">
      <c r="J51" s="1" t="s">
        <v>50</v>
      </c>
      <c r="K51" s="1">
        <f>K13+K21+K30+K39</f>
        <v>24.5</v>
      </c>
    </row>
    <row r="52" spans="10:11" x14ac:dyDescent="0.35">
      <c r="J52" s="1" t="s">
        <v>51</v>
      </c>
      <c r="K52" s="1">
        <f>K4+K14+K22+K31+K40</f>
        <v>29.5</v>
      </c>
    </row>
    <row r="53" spans="10:11" x14ac:dyDescent="0.35">
      <c r="J53" s="1" t="s">
        <v>48</v>
      </c>
      <c r="K53" s="1">
        <f>K5+K15+K23+K24+K32+K33+K41</f>
        <v>34.5</v>
      </c>
    </row>
    <row r="54" spans="10:11" x14ac:dyDescent="0.35">
      <c r="K54">
        <f>SUM(K50:K53)</f>
        <v>111</v>
      </c>
    </row>
  </sheetData>
  <mergeCells count="47">
    <mergeCell ref="C39:C40"/>
    <mergeCell ref="D39:D41"/>
    <mergeCell ref="E39:E41"/>
    <mergeCell ref="F39:F44"/>
    <mergeCell ref="G39:G43"/>
    <mergeCell ref="C41:C44"/>
    <mergeCell ref="D42:D44"/>
    <mergeCell ref="E42:E44"/>
    <mergeCell ref="C30:C31"/>
    <mergeCell ref="D30:D32"/>
    <mergeCell ref="E30:E31"/>
    <mergeCell ref="F30:F31"/>
    <mergeCell ref="G30:G31"/>
    <mergeCell ref="C32:C35"/>
    <mergeCell ref="E32:E35"/>
    <mergeCell ref="F32:F35"/>
    <mergeCell ref="G32:G34"/>
    <mergeCell ref="D33:D35"/>
    <mergeCell ref="C21:C26"/>
    <mergeCell ref="D21:D23"/>
    <mergeCell ref="E21:E23"/>
    <mergeCell ref="F21:F22"/>
    <mergeCell ref="G21:G22"/>
    <mergeCell ref="F23:F26"/>
    <mergeCell ref="G23:G25"/>
    <mergeCell ref="D24:D26"/>
    <mergeCell ref="E24:E26"/>
    <mergeCell ref="C12:C13"/>
    <mergeCell ref="D12:D14"/>
    <mergeCell ref="E12:E15"/>
    <mergeCell ref="F12:F13"/>
    <mergeCell ref="G12:G13"/>
    <mergeCell ref="C14:C17"/>
    <mergeCell ref="F14:F17"/>
    <mergeCell ref="G14:G16"/>
    <mergeCell ref="D15:D17"/>
    <mergeCell ref="E16:E17"/>
    <mergeCell ref="C3:C5"/>
    <mergeCell ref="D3:D5"/>
    <mergeCell ref="E3:E5"/>
    <mergeCell ref="F3:F5"/>
    <mergeCell ref="G3:G4"/>
    <mergeCell ref="G5:G7"/>
    <mergeCell ref="C6:C8"/>
    <mergeCell ref="D6:D8"/>
    <mergeCell ref="E6:E8"/>
    <mergeCell ref="F6:F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WAN_201</vt:lpstr>
      <vt:lpstr>WAN_202</vt:lpstr>
      <vt:lpstr>WAN_301</vt:lpstr>
      <vt:lpstr>WAN_201_Completo</vt:lpstr>
      <vt:lpstr>WAN_202_COMPLETO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</dc:creator>
  <cp:lastModifiedBy>Lizethe Pérez Fuertes</cp:lastModifiedBy>
  <cp:lastPrinted>2026-04-28T17:00:50Z</cp:lastPrinted>
  <dcterms:created xsi:type="dcterms:W3CDTF">2023-01-30T17:32:57Z</dcterms:created>
  <dcterms:modified xsi:type="dcterms:W3CDTF">2026-04-28T17:00:52Z</dcterms:modified>
</cp:coreProperties>
</file>